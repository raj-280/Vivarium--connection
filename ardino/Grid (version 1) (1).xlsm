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Allentown TFS\Allentown Client Details\CCD Vision System\Drive codes\"/>
    </mc:Choice>
  </mc:AlternateContent>
  <xr:revisionPtr revIDLastSave="0" documentId="13_ncr:1_{786D7D62-516A-475F-8A6F-DCF1E6F1EFAF}" xr6:coauthVersionLast="47" xr6:coauthVersionMax="47" xr10:uidLastSave="{00000000-0000-0000-0000-000000000000}"/>
  <bookViews>
    <workbookView xWindow="-30828" yWindow="492" windowWidth="30936" windowHeight="16896" activeTab="1" xr2:uid="{A40D46A5-F77F-4AFC-B9B5-14ECC779FAA4}"/>
  </bookViews>
  <sheets>
    <sheet name="HomeUp" sheetId="1" r:id="rId1"/>
    <sheet name="HomeDown" sheetId="7" r:id="rId2"/>
    <sheet name="Sheet6" sheetId="6" r:id="rId3"/>
    <sheet name="Data In" sheetId="5" r:id="rId4"/>
    <sheet name="Data Out" sheetId="4" r:id="rId5"/>
    <sheet name="Settings" sheetId="3" r:id="rId6"/>
    <sheet name="Manifest" sheetId="2" r:id="rId7"/>
  </sheets>
  <definedNames>
    <definedName name="DataChannelCountSetting">Settings!$C$8</definedName>
    <definedName name="DataDelaySetting">Settings!$C$4</definedName>
    <definedName name="DataOrientationSetting">Settings!$C$10</definedName>
    <definedName name="DataRowCountSetting">Settings!$C$6</definedName>
    <definedName name="Manifest_BaudRate">Manifest!$I$9</definedName>
    <definedName name="Manifest_DataInterval">Manifest!$I$7</definedName>
    <definedName name="Manifest_Generated">Manifest!$K$5</definedName>
    <definedName name="Manifest_Id">Manifest!$I$5:$J$5</definedName>
    <definedName name="Manifest_Schema">Manifest!$L$1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7" i="7" l="1"/>
  <c r="F47" i="7"/>
  <c r="G47" i="7"/>
  <c r="H47" i="7"/>
  <c r="I47" i="7"/>
  <c r="J47" i="7"/>
  <c r="K47" i="7"/>
  <c r="E48" i="7"/>
  <c r="F48" i="7"/>
  <c r="G48" i="7"/>
  <c r="H48" i="7"/>
  <c r="I48" i="7"/>
  <c r="J48" i="7"/>
  <c r="K48" i="7"/>
  <c r="E49" i="7"/>
  <c r="F49" i="7"/>
  <c r="G49" i="7"/>
  <c r="H49" i="7"/>
  <c r="I49" i="7"/>
  <c r="J49" i="7"/>
  <c r="K49" i="7"/>
  <c r="E50" i="7"/>
  <c r="F50" i="7"/>
  <c r="G50" i="7"/>
  <c r="H50" i="7"/>
  <c r="I50" i="7"/>
  <c r="J50" i="7"/>
  <c r="K50" i="7"/>
  <c r="E51" i="7"/>
  <c r="F51" i="7"/>
  <c r="G51" i="7"/>
  <c r="H51" i="7"/>
  <c r="I51" i="7"/>
  <c r="J51" i="7"/>
  <c r="K51" i="7"/>
  <c r="E52" i="7"/>
  <c r="F52" i="7"/>
  <c r="G52" i="7"/>
  <c r="H52" i="7"/>
  <c r="I52" i="7"/>
  <c r="J52" i="7"/>
  <c r="K52" i="7"/>
  <c r="E53" i="7"/>
  <c r="F53" i="7"/>
  <c r="G53" i="7"/>
  <c r="H53" i="7"/>
  <c r="I53" i="7"/>
  <c r="J53" i="7"/>
  <c r="K53" i="7"/>
  <c r="E54" i="7"/>
  <c r="F54" i="7"/>
  <c r="G54" i="7"/>
  <c r="H54" i="7"/>
  <c r="I54" i="7"/>
  <c r="J54" i="7"/>
  <c r="K54" i="7"/>
  <c r="E55" i="7"/>
  <c r="F55" i="7"/>
  <c r="G55" i="7"/>
  <c r="H55" i="7"/>
  <c r="I55" i="7"/>
  <c r="J55" i="7"/>
  <c r="K55" i="7"/>
  <c r="E56" i="7"/>
  <c r="F56" i="7"/>
  <c r="G56" i="7"/>
  <c r="H56" i="7"/>
  <c r="I56" i="7"/>
  <c r="J56" i="7"/>
  <c r="K56" i="7"/>
  <c r="E57" i="7"/>
  <c r="F57" i="7"/>
  <c r="G57" i="7"/>
  <c r="H57" i="7"/>
  <c r="I57" i="7"/>
  <c r="J57" i="7"/>
  <c r="K57" i="7"/>
  <c r="K46" i="7"/>
  <c r="F46" i="7"/>
  <c r="G46" i="7"/>
  <c r="H46" i="7"/>
  <c r="I46" i="7"/>
  <c r="J46" i="7"/>
  <c r="E46" i="7"/>
  <c r="K31" i="7"/>
  <c r="J31" i="7"/>
  <c r="I31" i="7"/>
  <c r="H31" i="7"/>
  <c r="G31" i="7"/>
  <c r="F31" i="7"/>
  <c r="E31" i="7"/>
  <c r="K32" i="7"/>
  <c r="J32" i="7"/>
  <c r="I32" i="7"/>
  <c r="H32" i="7"/>
  <c r="G32" i="7"/>
  <c r="F32" i="7"/>
  <c r="E32" i="7"/>
  <c r="K33" i="7"/>
  <c r="J33" i="7"/>
  <c r="I33" i="7"/>
  <c r="H33" i="7"/>
  <c r="G33" i="7"/>
  <c r="F33" i="7"/>
  <c r="E33" i="7"/>
  <c r="K34" i="7"/>
  <c r="J34" i="7"/>
  <c r="I34" i="7"/>
  <c r="H34" i="7"/>
  <c r="G34" i="7"/>
  <c r="F34" i="7"/>
  <c r="E34" i="7"/>
  <c r="K35" i="7"/>
  <c r="J35" i="7"/>
  <c r="I35" i="7"/>
  <c r="H35" i="7"/>
  <c r="G35" i="7"/>
  <c r="F35" i="7"/>
  <c r="E35" i="7"/>
  <c r="K36" i="7"/>
  <c r="J36" i="7"/>
  <c r="I36" i="7"/>
  <c r="H36" i="7"/>
  <c r="G36" i="7"/>
  <c r="F36" i="7"/>
  <c r="E36" i="7"/>
  <c r="K37" i="7"/>
  <c r="J37" i="7"/>
  <c r="I37" i="7"/>
  <c r="H37" i="7"/>
  <c r="G37" i="7"/>
  <c r="F37" i="7"/>
  <c r="E37" i="7"/>
  <c r="K38" i="7"/>
  <c r="J38" i="7"/>
  <c r="I38" i="7"/>
  <c r="H38" i="7"/>
  <c r="G38" i="7"/>
  <c r="F38" i="7"/>
  <c r="E38" i="7"/>
  <c r="K39" i="7"/>
  <c r="J39" i="7"/>
  <c r="I39" i="7"/>
  <c r="H39" i="7"/>
  <c r="G39" i="7"/>
  <c r="F39" i="7"/>
  <c r="E39" i="7"/>
  <c r="K40" i="7"/>
  <c r="J40" i="7"/>
  <c r="I40" i="7"/>
  <c r="H40" i="7"/>
  <c r="G40" i="7"/>
  <c r="F40" i="7"/>
  <c r="E40" i="7"/>
  <c r="K41" i="7"/>
  <c r="J41" i="7"/>
  <c r="I41" i="7"/>
  <c r="H41" i="7"/>
  <c r="G41" i="7"/>
  <c r="F41" i="7"/>
  <c r="E41" i="7"/>
  <c r="K42" i="7"/>
  <c r="J42" i="7"/>
  <c r="I42" i="7"/>
  <c r="H42" i="7"/>
  <c r="G42" i="7"/>
  <c r="F42" i="7"/>
  <c r="E42" i="7"/>
  <c r="K28" i="7"/>
  <c r="J28" i="7"/>
  <c r="I28" i="7"/>
  <c r="H28" i="7"/>
  <c r="G28" i="7"/>
  <c r="F28" i="7"/>
  <c r="E28" i="7"/>
  <c r="K27" i="7"/>
  <c r="J27" i="7"/>
  <c r="I27" i="7"/>
  <c r="H27" i="7"/>
  <c r="G27" i="7"/>
  <c r="F27" i="7"/>
  <c r="E27" i="7"/>
  <c r="K26" i="7"/>
  <c r="J26" i="7"/>
  <c r="I26" i="7"/>
  <c r="H26" i="7"/>
  <c r="G26" i="7"/>
  <c r="F26" i="7"/>
  <c r="E26" i="7"/>
  <c r="K25" i="7"/>
  <c r="J25" i="7"/>
  <c r="I25" i="7"/>
  <c r="H25" i="7"/>
  <c r="G25" i="7"/>
  <c r="F25" i="7"/>
  <c r="E25" i="7"/>
  <c r="K24" i="7"/>
  <c r="J24" i="7"/>
  <c r="I24" i="7"/>
  <c r="H24" i="7"/>
  <c r="G24" i="7"/>
  <c r="F24" i="7"/>
  <c r="E24" i="7"/>
  <c r="K23" i="7"/>
  <c r="J23" i="7"/>
  <c r="I23" i="7"/>
  <c r="H23" i="7"/>
  <c r="G23" i="7"/>
  <c r="F23" i="7"/>
  <c r="E23" i="7"/>
  <c r="K22" i="7"/>
  <c r="J22" i="7"/>
  <c r="I22" i="7"/>
  <c r="H22" i="7"/>
  <c r="G22" i="7"/>
  <c r="F22" i="7"/>
  <c r="E22" i="7"/>
  <c r="K21" i="7"/>
  <c r="J21" i="7"/>
  <c r="I21" i="7"/>
  <c r="H21" i="7"/>
  <c r="G21" i="7"/>
  <c r="F21" i="7"/>
  <c r="E21" i="7"/>
  <c r="K20" i="7"/>
  <c r="J20" i="7"/>
  <c r="I20" i="7"/>
  <c r="H20" i="7"/>
  <c r="G20" i="7"/>
  <c r="F20" i="7"/>
  <c r="E20" i="7"/>
  <c r="K19" i="7"/>
  <c r="J19" i="7"/>
  <c r="I19" i="7"/>
  <c r="H19" i="7"/>
  <c r="G19" i="7"/>
  <c r="F19" i="7"/>
  <c r="E19" i="7"/>
  <c r="K18" i="7"/>
  <c r="J18" i="7"/>
  <c r="I18" i="7"/>
  <c r="H18" i="7"/>
  <c r="G18" i="7"/>
  <c r="F18" i="7"/>
  <c r="E18" i="7"/>
  <c r="K17" i="7"/>
  <c r="J17" i="7"/>
  <c r="I17" i="7"/>
  <c r="H17" i="7"/>
  <c r="G17" i="7"/>
  <c r="F17" i="7"/>
  <c r="E17" i="7"/>
  <c r="F47" i="1"/>
  <c r="F48" i="1"/>
  <c r="G31" i="1"/>
  <c r="G45" i="1" s="1"/>
  <c r="H31" i="1"/>
  <c r="I31" i="1"/>
  <c r="J31" i="1"/>
  <c r="K31" i="1"/>
  <c r="G32" i="1"/>
  <c r="H32" i="1"/>
  <c r="I32" i="1"/>
  <c r="J32" i="1"/>
  <c r="K32" i="1"/>
  <c r="G33" i="1"/>
  <c r="G47" i="1" s="1"/>
  <c r="H33" i="1"/>
  <c r="I33" i="1"/>
  <c r="J33" i="1"/>
  <c r="K33" i="1"/>
  <c r="K47" i="1" s="1"/>
  <c r="G34" i="1"/>
  <c r="H34" i="1"/>
  <c r="I34" i="1"/>
  <c r="J34" i="1"/>
  <c r="K34" i="1"/>
  <c r="G35" i="1"/>
  <c r="H35" i="1"/>
  <c r="I35" i="1"/>
  <c r="J35" i="1"/>
  <c r="K35" i="1"/>
  <c r="G36" i="1"/>
  <c r="H36" i="1"/>
  <c r="I36" i="1"/>
  <c r="I50" i="1" s="1"/>
  <c r="J36" i="1"/>
  <c r="K36" i="1"/>
  <c r="G37" i="1"/>
  <c r="H37" i="1"/>
  <c r="I37" i="1"/>
  <c r="J37" i="1"/>
  <c r="K37" i="1"/>
  <c r="K51" i="1" s="1"/>
  <c r="G38" i="1"/>
  <c r="H38" i="1"/>
  <c r="H52" i="1" s="1"/>
  <c r="I38" i="1"/>
  <c r="J38" i="1"/>
  <c r="K38" i="1"/>
  <c r="G39" i="1"/>
  <c r="H39" i="1"/>
  <c r="I39" i="1"/>
  <c r="J39" i="1"/>
  <c r="K39" i="1"/>
  <c r="G40" i="1"/>
  <c r="H40" i="1"/>
  <c r="I40" i="1"/>
  <c r="J40" i="1"/>
  <c r="K40" i="1"/>
  <c r="G41" i="1"/>
  <c r="H41" i="1"/>
  <c r="I41" i="1"/>
  <c r="J41" i="1"/>
  <c r="K41" i="1"/>
  <c r="G42" i="1"/>
  <c r="G56" i="1" s="1"/>
  <c r="H42" i="1"/>
  <c r="I42" i="1"/>
  <c r="J42" i="1"/>
  <c r="K42" i="1"/>
  <c r="E31" i="1"/>
  <c r="F31" i="1"/>
  <c r="F32" i="1"/>
  <c r="F46" i="1" s="1"/>
  <c r="F33" i="1"/>
  <c r="F34" i="1"/>
  <c r="F35" i="1"/>
  <c r="F36" i="1"/>
  <c r="F37" i="1"/>
  <c r="F38" i="1"/>
  <c r="F39" i="1"/>
  <c r="F40" i="1"/>
  <c r="F41" i="1"/>
  <c r="F42" i="1"/>
  <c r="E42" i="1"/>
  <c r="E41" i="1"/>
  <c r="E40" i="1"/>
  <c r="E39" i="1"/>
  <c r="E38" i="1"/>
  <c r="E37" i="1"/>
  <c r="E36" i="1"/>
  <c r="E35" i="1"/>
  <c r="E34" i="1"/>
  <c r="E33" i="1"/>
  <c r="E32" i="1"/>
  <c r="K18" i="1"/>
  <c r="K19" i="1"/>
  <c r="K20" i="1"/>
  <c r="K48" i="1" s="1"/>
  <c r="K21" i="1"/>
  <c r="K22" i="1"/>
  <c r="K23" i="1"/>
  <c r="K24" i="1"/>
  <c r="K25" i="1"/>
  <c r="K26" i="1"/>
  <c r="K27" i="1"/>
  <c r="K28" i="1"/>
  <c r="K17" i="1"/>
  <c r="J18" i="1"/>
  <c r="J19" i="1"/>
  <c r="J20" i="1"/>
  <c r="J48" i="1" s="1"/>
  <c r="J21" i="1"/>
  <c r="J49" i="1" s="1"/>
  <c r="J22" i="1"/>
  <c r="J23" i="1"/>
  <c r="J24" i="1"/>
  <c r="J25" i="1"/>
  <c r="J26" i="1"/>
  <c r="J54" i="1" s="1"/>
  <c r="J27" i="1"/>
  <c r="J28" i="1"/>
  <c r="J17" i="1"/>
  <c r="I18" i="1"/>
  <c r="I19" i="1"/>
  <c r="I20" i="1"/>
  <c r="I48" i="1" s="1"/>
  <c r="I21" i="1"/>
  <c r="I22" i="1"/>
  <c r="I23" i="1"/>
  <c r="I24" i="1"/>
  <c r="I25" i="1"/>
  <c r="I26" i="1"/>
  <c r="I54" i="1" s="1"/>
  <c r="I27" i="1"/>
  <c r="I28" i="1"/>
  <c r="I17" i="1"/>
  <c r="H18" i="1"/>
  <c r="H19" i="1"/>
  <c r="H20" i="1"/>
  <c r="H48" i="1" s="1"/>
  <c r="H21" i="1"/>
  <c r="H49" i="1" s="1"/>
  <c r="H22" i="1"/>
  <c r="H23" i="1"/>
  <c r="H24" i="1"/>
  <c r="H25" i="1"/>
  <c r="H26" i="1"/>
  <c r="H27" i="1"/>
  <c r="H55" i="1" s="1"/>
  <c r="H28" i="1"/>
  <c r="H17" i="1"/>
  <c r="H45" i="1" s="1"/>
  <c r="G18" i="1"/>
  <c r="G19" i="1"/>
  <c r="G20" i="1"/>
  <c r="G21" i="1"/>
  <c r="G49" i="1" s="1"/>
  <c r="G22" i="1"/>
  <c r="G23" i="1"/>
  <c r="G24" i="1"/>
  <c r="G25" i="1"/>
  <c r="G26" i="1"/>
  <c r="G54" i="1" s="1"/>
  <c r="G27" i="1"/>
  <c r="G55" i="1" s="1"/>
  <c r="G28" i="1"/>
  <c r="G17" i="1"/>
  <c r="F18" i="1"/>
  <c r="F19" i="1"/>
  <c r="F20" i="1"/>
  <c r="F21" i="1"/>
  <c r="F22" i="1"/>
  <c r="F23" i="1"/>
  <c r="F24" i="1"/>
  <c r="F25" i="1"/>
  <c r="F26" i="1"/>
  <c r="F27" i="1"/>
  <c r="F28" i="1"/>
  <c r="F17" i="1"/>
  <c r="E20" i="1"/>
  <c r="E21" i="1"/>
  <c r="E22" i="1"/>
  <c r="E50" i="1" s="1"/>
  <c r="E23" i="1"/>
  <c r="E24" i="1"/>
  <c r="E25" i="1"/>
  <c r="E26" i="1"/>
  <c r="E27" i="1"/>
  <c r="E28" i="1"/>
  <c r="E19" i="1"/>
  <c r="E18" i="1"/>
  <c r="E17" i="1"/>
  <c r="E53" i="1" l="1"/>
  <c r="J53" i="1"/>
  <c r="E54" i="1"/>
  <c r="E52" i="1"/>
  <c r="J45" i="1"/>
  <c r="J47" i="1"/>
  <c r="H54" i="1"/>
  <c r="F45" i="1"/>
  <c r="K53" i="1"/>
  <c r="H47" i="1"/>
  <c r="J55" i="1"/>
  <c r="F50" i="1"/>
  <c r="K46" i="1"/>
  <c r="I46" i="1"/>
  <c r="E51" i="1"/>
  <c r="F49" i="1"/>
  <c r="E46" i="1"/>
  <c r="E47" i="1"/>
  <c r="I51" i="1"/>
  <c r="I49" i="1"/>
  <c r="G48" i="1"/>
  <c r="G46" i="1"/>
  <c r="F52" i="1"/>
  <c r="F51" i="1"/>
  <c r="G52" i="1"/>
  <c r="J51" i="1"/>
  <c r="J46" i="1"/>
  <c r="K45" i="1"/>
  <c r="K56" i="1"/>
  <c r="G51" i="1"/>
  <c r="H51" i="1"/>
  <c r="K50" i="1"/>
  <c r="K54" i="1"/>
  <c r="E45" i="1"/>
  <c r="J56" i="1"/>
  <c r="F55" i="1"/>
  <c r="I56" i="1"/>
  <c r="G50" i="1"/>
  <c r="I45" i="1"/>
  <c r="K49" i="1"/>
  <c r="H56" i="1"/>
  <c r="E48" i="1"/>
  <c r="E56" i="1"/>
  <c r="H53" i="1"/>
  <c r="F56" i="1"/>
  <c r="G53" i="1"/>
  <c r="H50" i="1"/>
  <c r="E49" i="1"/>
  <c r="I47" i="1"/>
  <c r="I53" i="1"/>
  <c r="K52" i="1"/>
  <c r="J50" i="1"/>
  <c r="E55" i="1"/>
  <c r="F54" i="1"/>
  <c r="J52" i="1"/>
  <c r="H46" i="1"/>
  <c r="K55" i="1"/>
  <c r="I55" i="1"/>
  <c r="F53" i="1"/>
  <c r="I52" i="1"/>
</calcChain>
</file>

<file path=xl/sharedStrings.xml><?xml version="1.0" encoding="utf-8"?>
<sst xmlns="http://schemas.openxmlformats.org/spreadsheetml/2006/main" count="517" uniqueCount="213">
  <si>
    <t>M700 R0 C0</t>
  </si>
  <si>
    <t>M700 R0 C1</t>
  </si>
  <si>
    <t>M700 R0 C2</t>
  </si>
  <si>
    <t>M700 R0 C3</t>
  </si>
  <si>
    <t>M700 R0 C4</t>
  </si>
  <si>
    <t>M700 R0 C5</t>
  </si>
  <si>
    <t>M700 R0 C6</t>
  </si>
  <si>
    <t>M700 R1 C0</t>
  </si>
  <si>
    <t>M700 R1 C1</t>
  </si>
  <si>
    <t>M700 R1 C2</t>
  </si>
  <si>
    <t>M700 R1 C3</t>
  </si>
  <si>
    <t>M700 R1 C4</t>
  </si>
  <si>
    <t>M700 R1 C5</t>
  </si>
  <si>
    <t>M700 R1 C6</t>
  </si>
  <si>
    <t>M700 R2 C0</t>
  </si>
  <si>
    <t>M700 R2 C1</t>
  </si>
  <si>
    <t>M700 R2 C2</t>
  </si>
  <si>
    <t>M700 R2 C3</t>
  </si>
  <si>
    <t>M700 R2 C4</t>
  </si>
  <si>
    <t>M700 R2 C5</t>
  </si>
  <si>
    <t>M700 R2 C6</t>
  </si>
  <si>
    <t>M700 R3 C0</t>
  </si>
  <si>
    <t>M700 R3 C1</t>
  </si>
  <si>
    <t>M700 R3 C2</t>
  </si>
  <si>
    <t>M700 R3 C3</t>
  </si>
  <si>
    <t>M700 R3 C4</t>
  </si>
  <si>
    <t>M700 R3 C5</t>
  </si>
  <si>
    <t>M700 R3 C6</t>
  </si>
  <si>
    <t>M700 R4 C0</t>
  </si>
  <si>
    <t>M700 R4 C1</t>
  </si>
  <si>
    <t>M700 R4 C2</t>
  </si>
  <si>
    <t>M700 R4 C3</t>
  </si>
  <si>
    <t>M700 R4 C4</t>
  </si>
  <si>
    <t>M700 R4 C5</t>
  </si>
  <si>
    <t>M700 R4 C6</t>
  </si>
  <si>
    <t>M700 R5 C0</t>
  </si>
  <si>
    <t>M700 R5 C1</t>
  </si>
  <si>
    <t>M700 R5 C2</t>
  </si>
  <si>
    <t>M700 R5 C3</t>
  </si>
  <si>
    <t>M700 R5 C4</t>
  </si>
  <si>
    <t>M700 R5 C5</t>
  </si>
  <si>
    <t>M700 R5 C6</t>
  </si>
  <si>
    <t>M700 R6 C0</t>
  </si>
  <si>
    <t>M700 R6 C1</t>
  </si>
  <si>
    <t>M700 R6 C2</t>
  </si>
  <si>
    <t>M700 R6 C3</t>
  </si>
  <si>
    <t>M700 R6 C4</t>
  </si>
  <si>
    <t>M700 R6 C5</t>
  </si>
  <si>
    <t>M700 R6 C6</t>
  </si>
  <si>
    <t>M700 R7 C0</t>
  </si>
  <si>
    <t>M700 R7 C1</t>
  </si>
  <si>
    <t>M700 R7 C2</t>
  </si>
  <si>
    <t>M700 R7 C3</t>
  </si>
  <si>
    <t>M700 R7 C4</t>
  </si>
  <si>
    <t>M700 R7 C5</t>
  </si>
  <si>
    <t>M700 R7 C6</t>
  </si>
  <si>
    <t>M700 R8 C0</t>
  </si>
  <si>
    <t>M700 R8 C1</t>
  </si>
  <si>
    <t>M700 R8 C2</t>
  </si>
  <si>
    <t>M700 R8 C3</t>
  </si>
  <si>
    <t>M700 R8 C4</t>
  </si>
  <si>
    <t>M700 R8 C5</t>
  </si>
  <si>
    <t>M700 R8 C6</t>
  </si>
  <si>
    <t>M700 R9 C0</t>
  </si>
  <si>
    <t>M700 R9 C1</t>
  </si>
  <si>
    <t>M700 R9 C2</t>
  </si>
  <si>
    <t>M700 R9 C3</t>
  </si>
  <si>
    <t>M700 R9 C4</t>
  </si>
  <si>
    <t>M700 R9 C5</t>
  </si>
  <si>
    <t>M700 R9 C6</t>
  </si>
  <si>
    <t>M700 R10 C0</t>
  </si>
  <si>
    <t>M700 R10 C1</t>
  </si>
  <si>
    <t>M700 R10 C2</t>
  </si>
  <si>
    <t>M700 R10 C3</t>
  </si>
  <si>
    <t>M700 R10 C4</t>
  </si>
  <si>
    <t>M700 R10 C5</t>
  </si>
  <si>
    <t>M700 R10 C6</t>
  </si>
  <si>
    <t>M700 R11 C0</t>
  </si>
  <si>
    <t>M700 R11 C1</t>
  </si>
  <si>
    <t>M700 R11 C2</t>
  </si>
  <si>
    <t>M700 R11 C3</t>
  </si>
  <si>
    <t>M700 R11 C4</t>
  </si>
  <si>
    <t>M700 R11 C5</t>
  </si>
  <si>
    <t>M700 R11 C6</t>
  </si>
  <si>
    <t>Channels</t>
  </si>
  <si>
    <t>Data Source Id</t>
  </si>
  <si>
    <t>Data Interval (ms)</t>
  </si>
  <si>
    <t>Baud Rate</t>
  </si>
  <si>
    <t>Arduino Mega 2560</t>
  </si>
  <si>
    <t>This manifest was generated for the connected device. You can edit the device name and channel data here and the Data In worksheet will be updated.</t>
  </si>
  <si>
    <t>Id</t>
  </si>
  <si>
    <t>Name</t>
  </si>
  <si>
    <t>Description</t>
  </si>
  <si>
    <t>Unit of Measure</t>
  </si>
  <si>
    <t>Active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</si>
  <si>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</si>
  <si>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</si>
  <si>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</si>
  <si>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</si>
  <si>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</si>
  <si>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</si>
  <si>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</si>
  <si>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</si>
  <si>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</si>
  <si>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</si>
  <si>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</si>
  <si>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Workbook Settings</t>
  </si>
  <si>
    <t>Settings below will affect how data is read into the current workbook from data sources. Clear a field's contents to revert to its default setting.</t>
  </si>
  <si>
    <t>Data interval (ms)</t>
  </si>
  <si>
    <t>Data rows</t>
  </si>
  <si>
    <t>Data channels</t>
  </si>
  <si>
    <t>Data orientation</t>
  </si>
  <si>
    <t>Newest last</t>
  </si>
  <si>
    <r>
      <t>WARNING:</t>
    </r>
    <r>
      <rPr>
        <sz val="11"/>
        <color theme="1"/>
        <rFont val="Segoe UI Light"/>
        <family val="2"/>
      </rPr>
      <t xml:space="preserve"> Changing settings may result in the loss of content and/or custom formatting in the Data In and Data Out worksheets. Always save before changing values.</t>
    </r>
  </si>
  <si>
    <t>Data entered into the channels below will be sent to the currently connected device as a comma-delimited string.</t>
  </si>
  <si>
    <t>Data In (From Arduino Mega 2560 (COM12))</t>
  </si>
  <si>
    <t>Data coming from the current data source will appear below as it is received.</t>
  </si>
  <si>
    <t>Current Data</t>
  </si>
  <si>
    <t>TIME</t>
  </si>
  <si>
    <t>Historical Data</t>
  </si>
  <si>
    <t>M700 R0 C0 20 X 20</t>
  </si>
  <si>
    <t>M700 R0 C1 440 X 20</t>
  </si>
  <si>
    <t>M700 R0 C2 860 X 20</t>
  </si>
  <si>
    <t>M700 R0 C3 1280 X 20</t>
  </si>
  <si>
    <t>M700 R0 C4 1700 X 20</t>
  </si>
  <si>
    <t>M700 R0 C5 2120 X 20</t>
  </si>
  <si>
    <t>M700 R0 C6 2540 X 20</t>
  </si>
  <si>
    <t>M700 R1 C0 20 X 56</t>
  </si>
  <si>
    <t>M700 R1 C1 440 X 56</t>
  </si>
  <si>
    <t>M700 R1 C2 860 X 56</t>
  </si>
  <si>
    <t>M700 R1 C3 1280 X 56</t>
  </si>
  <si>
    <t>M700 R1 C4 1700 X 56</t>
  </si>
  <si>
    <t>M700 R1 C5 2120 X 56</t>
  </si>
  <si>
    <t>M700 R1 C6 2540 X 56</t>
  </si>
  <si>
    <t>M700 R2 C0 20 X 92</t>
  </si>
  <si>
    <t>M700 R2 C1 440 X 92</t>
  </si>
  <si>
    <t>M700 R2 C2 860 X 92</t>
  </si>
  <si>
    <t>M700 R2 C3 1280 X 92</t>
  </si>
  <si>
    <t>M700 R2 C4 1700 X 92</t>
  </si>
  <si>
    <t>M700 R2 C5 2120 X 92</t>
  </si>
  <si>
    <t>M700 R2 C6 2540 X 92</t>
  </si>
  <si>
    <t>M700 R3 C0 20 X 128</t>
  </si>
  <si>
    <t>M700 R3 C1 440 X 128</t>
  </si>
  <si>
    <t>M700 R3 C2 860 X 128</t>
  </si>
  <si>
    <t>M700 R3 C3 1280 X 128</t>
  </si>
  <si>
    <t>M700 R3 C4 1700 X 128</t>
  </si>
  <si>
    <t>M700 R3 C5 2120 X 128</t>
  </si>
  <si>
    <t>M700 R3 C6 2540 X 128</t>
  </si>
  <si>
    <t>M700 R4 C0 20 X 164</t>
  </si>
  <si>
    <t>M700 R4 C1 440 X 164</t>
  </si>
  <si>
    <t>M700 R4 C2 860 X 164</t>
  </si>
  <si>
    <t>M700 R4 C3 1280 X 164</t>
  </si>
  <si>
    <t>M700 R4 C4 1700 X 164</t>
  </si>
  <si>
    <t>M700 R4 C5 2120 X 164</t>
  </si>
  <si>
    <t>M700 R4 C6 2540 X 164</t>
  </si>
  <si>
    <t>M700 R5 C0 20 X 200</t>
  </si>
  <si>
    <t>M700 R5 C1 440 X 200</t>
  </si>
  <si>
    <t>M700 R5 C2 860 X 200</t>
  </si>
  <si>
    <t>M700 R5 C3 1280 X 200</t>
  </si>
  <si>
    <t>M700 R5 C4 1700 X 200</t>
  </si>
  <si>
    <t>M700 R5 C5 2120 X 200</t>
  </si>
  <si>
    <t>M700 R5 C6 2540 X 200</t>
  </si>
  <si>
    <t>M700 R6 C0 20 X 236</t>
  </si>
  <si>
    <t>M700 R6 C1 440 X 236</t>
  </si>
  <si>
    <t>M700 R6 C2 860 X 236</t>
  </si>
  <si>
    <t>M700 R6 C3 1280 X 236</t>
  </si>
  <si>
    <t>M700 R6 C4 1700 X 236</t>
  </si>
  <si>
    <t>M700 R6 C5 2120 X 236</t>
  </si>
  <si>
    <t>M700 R6 C6 2540 X 236</t>
  </si>
  <si>
    <t>M700 R7 C0 20 X 272</t>
  </si>
  <si>
    <t>M700 R7 C1 440 X 272</t>
  </si>
  <si>
    <t>M700 R7 C2 860 X 272</t>
  </si>
  <si>
    <t>M700 R7 C3 1280 X 272</t>
  </si>
  <si>
    <t>M700 R7 C4 1700 X 272</t>
  </si>
  <si>
    <t>M700 R7 C5 2120 X 272</t>
  </si>
  <si>
    <t>M700 R7 C6 2540 X 272</t>
  </si>
  <si>
    <t>M700 R8 C0 20 X 308</t>
  </si>
  <si>
    <t>M700 R8 C1 440 X 308</t>
  </si>
  <si>
    <t>M700 R8 C2 860 X 308</t>
  </si>
  <si>
    <t>M700 R8 C3 1280 X 308</t>
  </si>
  <si>
    <t>M700 R8 C4 1700 X 308</t>
  </si>
  <si>
    <t>M700 R8 C5 2120 X 308</t>
  </si>
  <si>
    <t>M700 R8 C6 2540 X 308</t>
  </si>
  <si>
    <t>M700 R9 C0 20 X 344</t>
  </si>
  <si>
    <t>M700 R9 C1 440 X 344</t>
  </si>
  <si>
    <t>M700 R9 C2 860 X 344</t>
  </si>
  <si>
    <t>M700 R9 C3 1280 X 344</t>
  </si>
  <si>
    <t>M700 R9 C4 1700 X 344</t>
  </si>
  <si>
    <t>M700 R9 C5 2120 X 344</t>
  </si>
  <si>
    <t>M700 R9 C6 2540 X 344</t>
  </si>
  <si>
    <t>M700 R10 C0 20 X 380</t>
  </si>
  <si>
    <t>M700 R10 C1 440 X 380</t>
  </si>
  <si>
    <t>M700 R10 C2 860 X 380</t>
  </si>
  <si>
    <t>M700 R10 C3 1280 X 380</t>
  </si>
  <si>
    <t>M700 R10 C4 1700 X 380</t>
  </si>
  <si>
    <t>M700 R10 C5 2120 X 380</t>
  </si>
  <si>
    <t>M700 R10 C6 2540 X 380</t>
  </si>
  <si>
    <t>M700 R11 C0 20 X 416</t>
  </si>
  <si>
    <t>M700 R11 C1 440 X 416</t>
  </si>
  <si>
    <t>M700 R11 C2 860 X 416</t>
  </si>
  <si>
    <t>M700 R11 C3 1280 X 416</t>
  </si>
  <si>
    <t>M700 R11 C4 1700 X 416</t>
  </si>
  <si>
    <t>M700 R11 C5 2120 X 416</t>
  </si>
  <si>
    <t>M700 R11 C6 2540 X 416</t>
  </si>
  <si>
    <t>1EFAB780-F6BD-4CA5-A0CA-D04787DC7D12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</si>
  <si>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1EFAB780-F6BD-4CA5-A0CA-D04787DC7D12","IsGenerated":true,"Name":"Arduino Mega 2560","Version":null,"BaudRate":9600}</t>
  </si>
  <si>
    <t>G28</t>
  </si>
  <si>
    <t>M114</t>
  </si>
  <si>
    <t>G91</t>
  </si>
  <si>
    <t>G1 X10</t>
  </si>
  <si>
    <t>G1 Y10</t>
  </si>
  <si>
    <t>M710</t>
  </si>
  <si>
    <t>M711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</si>
</sst>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20" x14ac:knownFonts="1">
    <font>
      <sz val="11"/>
      <color theme="1"/>
      <name val="Aptos Narrow"/>
      <family val="2"/>
      <scheme val="minor"/>
    </font>
    <font>
      <sz val="12"/>
      <color rgb="FF000000"/>
      <name val="Aptos Narrow"/>
      <family val="2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Aptos Narrow"/>
      <family val="2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0" fillId="2" borderId="0" xfId="0" applyFill="1"/>
    <xf numFmtId="0" fontId="0" fillId="2" borderId="0" xfId="0" applyFill="1" applyProtection="1">
      <protection locked="0"/>
    </xf>
    <xf numFmtId="0" fontId="13" fillId="5" borderId="0" xfId="0" applyFont="1" applyFill="1" applyAlignment="1" applyProtection="1">
      <alignment horizontal="left" vertical="center" indent="1"/>
      <protection locked="0"/>
    </xf>
    <xf numFmtId="0" fontId="14" fillId="6" borderId="3" xfId="0" applyFont="1" applyFill="1" applyBorder="1" applyAlignment="1" applyProtection="1">
      <alignment horizontal="left" vertical="center" indent="1"/>
      <protection locked="0"/>
    </xf>
    <xf numFmtId="0" fontId="9" fillId="6" borderId="4" xfId="0" applyFont="1" applyFill="1" applyBorder="1" applyAlignment="1" applyProtection="1">
      <alignment horizontal="left" vertical="center" indent="1"/>
      <protection locked="0"/>
    </xf>
    <xf numFmtId="0" fontId="14" fillId="6" borderId="5" xfId="0" applyFont="1" applyFill="1" applyBorder="1" applyAlignment="1" applyProtection="1">
      <alignment horizontal="left" vertical="center" indent="1"/>
      <protection locked="0"/>
    </xf>
    <xf numFmtId="0" fontId="9" fillId="6" borderId="6" xfId="0" applyFont="1" applyFill="1" applyBorder="1" applyAlignment="1" applyProtection="1">
      <alignment horizontal="left" vertical="center" indent="1"/>
      <protection locked="0"/>
    </xf>
    <xf numFmtId="0" fontId="9" fillId="6" borderId="7" xfId="0" applyFont="1" applyFill="1" applyBorder="1" applyAlignment="1" applyProtection="1">
      <alignment horizontal="left" vertical="center" indent="1"/>
      <protection locked="0"/>
    </xf>
    <xf numFmtId="0" fontId="9" fillId="6" borderId="8" xfId="0" applyFont="1" applyFill="1" applyBorder="1" applyAlignment="1" applyProtection="1">
      <alignment horizontal="left" vertical="center" indent="1"/>
      <protection locked="0"/>
    </xf>
    <xf numFmtId="0" fontId="9" fillId="6" borderId="10" xfId="0" applyFont="1" applyFill="1" applyBorder="1" applyAlignment="1" applyProtection="1">
      <alignment horizontal="left" vertical="center" indent="1"/>
      <protection locked="0"/>
    </xf>
    <xf numFmtId="0" fontId="14" fillId="6" borderId="9" xfId="0" applyFont="1" applyFill="1" applyBorder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15" fillId="7" borderId="0" xfId="0" applyFont="1" applyFill="1" applyAlignment="1" applyProtection="1">
      <alignment horizontal="left" vertical="center" indent="1"/>
      <protection locked="0"/>
    </xf>
    <xf numFmtId="0" fontId="9" fillId="2" borderId="11" xfId="0" applyFont="1" applyFill="1" applyBorder="1" applyAlignment="1" applyProtection="1">
      <alignment horizontal="left" vertical="center" indent="1"/>
      <protection locked="0"/>
    </xf>
    <xf numFmtId="0" fontId="18" fillId="9" borderId="14" xfId="0" applyFont="1" applyFill="1" applyBorder="1" applyAlignment="1" applyProtection="1">
      <alignment horizontal="right" vertical="center" indent="1"/>
      <protection locked="0"/>
    </xf>
    <xf numFmtId="0" fontId="13" fillId="10" borderId="0" xfId="0" applyFont="1" applyFill="1" applyAlignment="1">
      <alignment horizontal="center" vertical="center"/>
    </xf>
    <xf numFmtId="0" fontId="18" fillId="11" borderId="15" xfId="0" applyFont="1" applyFill="1" applyBorder="1" applyAlignment="1" applyProtection="1">
      <alignment horizontal="right" vertical="center" indent="1"/>
      <protection locked="0"/>
    </xf>
    <xf numFmtId="164" fontId="18" fillId="11" borderId="15" xfId="0" applyNumberFormat="1" applyFont="1" applyFill="1" applyBorder="1" applyAlignment="1" applyProtection="1">
      <alignment horizontal="left" vertical="center" indent="1"/>
      <protection locked="0"/>
    </xf>
    <xf numFmtId="0" fontId="18" fillId="12" borderId="17" xfId="0" applyFont="1" applyFill="1" applyBorder="1" applyAlignment="1" applyProtection="1">
      <alignment horizontal="right" vertical="center" indent="1"/>
      <protection locked="0"/>
    </xf>
    <xf numFmtId="0" fontId="18" fillId="12" borderId="18" xfId="0" applyFont="1" applyFill="1" applyBorder="1" applyAlignment="1" applyProtection="1">
      <alignment horizontal="right" vertical="center" indent="1"/>
      <protection locked="0"/>
    </xf>
    <xf numFmtId="164" fontId="18" fillId="12" borderId="17" xfId="0" applyNumberFormat="1" applyFont="1" applyFill="1" applyBorder="1" applyAlignment="1" applyProtection="1">
      <alignment horizontal="left" vertical="center" indent="1"/>
      <protection locked="0"/>
    </xf>
    <xf numFmtId="164" fontId="18" fillId="12" borderId="18" xfId="0" applyNumberFormat="1" applyFont="1" applyFill="1" applyBorder="1" applyAlignment="1" applyProtection="1">
      <alignment horizontal="left" vertical="center" indent="1"/>
      <protection locked="0"/>
    </xf>
    <xf numFmtId="164" fontId="18" fillId="13" borderId="18" xfId="0" applyNumberFormat="1" applyFont="1" applyFill="1" applyBorder="1" applyAlignment="1" applyProtection="1">
      <alignment horizontal="left" vertical="center" indent="1"/>
      <protection locked="0"/>
    </xf>
    <xf numFmtId="0" fontId="18" fillId="13" borderId="18" xfId="0" applyFont="1" applyFill="1" applyBorder="1" applyAlignment="1" applyProtection="1">
      <alignment horizontal="right" vertical="center" indent="1"/>
      <protection locked="0"/>
    </xf>
    <xf numFmtId="0" fontId="3" fillId="0" borderId="0" xfId="0" applyFont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7" fillId="2" borderId="0" xfId="0" applyFont="1" applyFill="1" applyAlignment="1">
      <alignment horizontal="left"/>
    </xf>
    <xf numFmtId="0" fontId="9" fillId="3" borderId="0" xfId="0" applyFont="1" applyFill="1" applyAlignment="1">
      <alignment horizontal="left" vertical="center" indent="1"/>
    </xf>
    <xf numFmtId="0" fontId="9" fillId="6" borderId="0" xfId="0" applyFont="1" applyFill="1" applyAlignment="1" applyProtection="1">
      <alignment horizontal="left" vertical="center" indent="1"/>
      <protection locked="0"/>
    </xf>
    <xf numFmtId="0" fontId="8" fillId="7" borderId="0" xfId="0" applyFont="1" applyFill="1" applyAlignment="1">
      <alignment horizontal="left" vertical="center" indent="1"/>
    </xf>
    <xf numFmtId="0" fontId="17" fillId="8" borderId="12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" fillId="0" borderId="0" xfId="0" applyFont="1" applyAlignmen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3" fillId="0" borderId="0" xfId="0" applyFont="1"/>
    <xf numFmtId="0" fontId="10" fillId="2" borderId="0" xfId="0" applyFont="1" applyFill="1" applyAlignment="1">
      <alignment horizontal="left" indent="1"/>
    </xf>
    <xf numFmtId="0" fontId="11" fillId="2" borderId="0" xfId="0" applyFont="1" applyFill="1" applyAlignment="1">
      <alignment horizontal="left" vertical="top" wrapText="1" indent="1"/>
    </xf>
    <xf numFmtId="0" fontId="19" fillId="2" borderId="0" xfId="0" applyFont="1" applyFill="1" applyAlignment="1">
      <alignment horizontal="left" indent="1"/>
    </xf>
    <xf numFmtId="0" fontId="19" fillId="2" borderId="16" xfId="0" applyFont="1" applyFill="1" applyBorder="1" applyAlignment="1">
      <alignment horizontal="left" indent="1"/>
    </xf>
    <xf numFmtId="0" fontId="10" fillId="0" borderId="0" xfId="0" applyFont="1" applyAlignment="1">
      <alignment horizontal="left" indent="1"/>
    </xf>
    <xf numFmtId="0" fontId="11" fillId="0" borderId="0" xfId="0" applyFont="1" applyAlignment="1">
      <alignment horizontal="left" vertical="top" wrapText="1" indent="1"/>
    </xf>
    <xf numFmtId="0" fontId="10" fillId="7" borderId="0" xfId="0" applyFont="1" applyFill="1" applyAlignment="1" applyProtection="1">
      <alignment horizontal="left" indent="1"/>
      <protection locked="0"/>
    </xf>
    <xf numFmtId="0" fontId="11" fillId="7" borderId="0" xfId="0" applyFont="1" applyFill="1" applyAlignment="1" applyProtection="1">
      <alignment horizontal="left" vertical="top" wrapText="1" indent="1"/>
      <protection locked="0"/>
    </xf>
    <xf numFmtId="0" fontId="16" fillId="7" borderId="0" xfId="0" applyFont="1" applyFill="1" applyAlignment="1" applyProtection="1">
      <alignment horizontal="left" vertical="center" wrapText="1" indent="1"/>
      <protection locked="0"/>
    </xf>
    <xf numFmtId="0" fontId="8" fillId="2" borderId="0" xfId="0" applyFont="1" applyFill="1" applyAlignment="1">
      <alignment horizontal="left"/>
    </xf>
    <xf numFmtId="0" fontId="9" fillId="3" borderId="0" xfId="0" applyFont="1" applyFill="1" applyAlignment="1">
      <alignment horizontal="left" vertical="center" indent="1"/>
    </xf>
    <xf numFmtId="0" fontId="10" fillId="2" borderId="0" xfId="0" applyFont="1" applyFill="1" applyAlignment="1" applyProtection="1">
      <alignment horizontal="left" indent="1"/>
      <protection locked="0"/>
    </xf>
    <xf numFmtId="0" fontId="11" fillId="2" borderId="0" xfId="0" applyFont="1" applyFill="1" applyAlignment="1" applyProtection="1">
      <alignment horizontal="left" vertical="top" wrapText="1" indent="1"/>
      <protection locked="0"/>
    </xf>
    <xf numFmtId="0" fontId="12" fillId="4" borderId="0" xfId="0" applyFont="1" applyFill="1" applyAlignment="1" applyProtection="1">
      <alignment horizontal="left" vertical="center" indent="1"/>
      <protection locked="0"/>
    </xf>
    <xf numFmtId="0" fontId="12" fillId="4" borderId="2" xfId="0" applyFont="1" applyFill="1" applyBorder="1" applyAlignment="1" applyProtection="1">
      <alignment horizontal="left" vertical="center" indent="1"/>
      <protection locked="0"/>
    </xf>
    <xf numFmtId="0" fontId="6" fillId="2" borderId="0" xfId="0" applyFont="1" applyFill="1" applyAlignment="1" applyProtection="1">
      <alignment horizontal="left" indent="1"/>
      <protection locked="0"/>
    </xf>
    <xf numFmtId="0" fontId="0" fillId="14" borderId="1" xfId="0" applyFill="1" applyBorder="1" applyAlignment="1">
      <alignment horizontal="left" vertical="center" wrapText="1"/>
    </xf>
  </cellXfs>
  <cellStyles count="1">
    <cellStyle name="Normal" xfId="0" builtinId="0"/>
  </cellStyles>
  <dxfs count="2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193FB404-D252-43AF-AD90-FBAB9E4B933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21</xdr:row>
      <xdr:rowOff>0</xdr:rowOff>
    </xdr:from>
    <xdr:to>
      <xdr:col>12</xdr:col>
      <xdr:colOff>0</xdr:colOff>
      <xdr:row>22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708B9CC-78CE-2FC9-8F2C-A8DF1D1851CE}"/>
            </a:ext>
          </a:extLst>
        </xdr:cNvPr>
        <xdr:cNvSpPr/>
      </xdr:nvSpPr>
      <xdr:spPr>
        <a:xfrm>
          <a:off x="8124825" y="5534025"/>
          <a:ext cx="609600" cy="247650"/>
        </a:xfrm>
        <a:prstGeom prst="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>
              <a:solidFill>
                <a:srgbClr val="000000"/>
              </a:solidFill>
            </a:rPr>
            <a:t>◀ Newest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6723AC-CC4E-494B-8A3D-528C876534C2}" name="TBL_CUR" displayName="TBL_CUR" ref="A4:K5" totalsRowShown="0" headerRowDxfId="25" dataDxfId="24">
  <autoFilter ref="A4:K5" xr:uid="{CC6723AC-CC4E-494B-8A3D-528C876534C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597551EC-3DB5-4642-B688-BE00EF7FF04D}" name="TIME" dataDxfId="23"/>
    <tableColumn id="2" xr3:uid="{D2965B07-7170-4527-90A5-6FB987E02CBD}" name="CH1" dataDxfId="22"/>
    <tableColumn id="3" xr3:uid="{8672EADF-C74A-47F7-9AF9-BF810564CA40}" name="CH2" dataDxfId="21"/>
    <tableColumn id="4" xr3:uid="{37531D4A-F5B7-4A42-B726-20001BE3862D}" name="CH3" dataDxfId="20"/>
    <tableColumn id="5" xr3:uid="{161DB02A-14D0-42F8-BF01-7E579029771A}" name="CH4" dataDxfId="19"/>
    <tableColumn id="6" xr3:uid="{D611A4F2-C031-4945-B239-3D6139555D81}" name="CH5" dataDxfId="18"/>
    <tableColumn id="7" xr3:uid="{ACE1A1BD-F0A9-4161-B6A6-D6B5B2551E3B}" name="CH6" dataDxfId="17"/>
    <tableColumn id="8" xr3:uid="{68C0AD3E-4AE2-4A4A-9656-E1A33D3E9F1F}" name="CH7" dataDxfId="16"/>
    <tableColumn id="9" xr3:uid="{2C96150D-CE74-4919-BA09-9FC094FD48EB}" name="CH8" dataDxfId="15"/>
    <tableColumn id="10" xr3:uid="{313E48A2-5C37-4F75-B806-284911E5FC15}" name="CH9" dataDxfId="14"/>
    <tableColumn id="11" xr3:uid="{48BDAEB4-D627-492E-8DF1-224353E66D13}" name="CH10" dataDxfId="13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2C4DDE-CD3C-4438-B152-24ECFD792E06}" name="TBL_HST" displayName="TBL_HST" ref="A7:K22" totalsRowShown="0" headerRowDxfId="12" dataDxfId="11">
  <autoFilter ref="A7:K22" xr:uid="{102C4DDE-CD3C-4438-B152-24ECFD792E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2489DF9C-5293-430E-845D-9F1F2F4A694A}" name="TIME" dataDxfId="10"/>
    <tableColumn id="2" xr3:uid="{5393685F-BA1A-40DE-B599-6C60596CC236}" name="CH1" dataDxfId="9"/>
    <tableColumn id="3" xr3:uid="{66C564FD-DD47-4846-9915-906D8CB434CB}" name="CH2" dataDxfId="8"/>
    <tableColumn id="4" xr3:uid="{9E31A349-9BDD-433A-8FC9-85826EEA4017}" name="CH3" dataDxfId="7"/>
    <tableColumn id="5" xr3:uid="{26661C07-7689-47F0-966E-0B7DD1FEA0B9}" name="CH4" dataDxfId="6"/>
    <tableColumn id="6" xr3:uid="{FB8376CF-F29E-41AA-8074-78A1274C3E01}" name="CH5" dataDxfId="5"/>
    <tableColumn id="7" xr3:uid="{B50B357C-43B6-4AA9-8B02-5BDA19A6071D}" name="CH6" dataDxfId="4"/>
    <tableColumn id="8" xr3:uid="{1589669C-9B5E-4CF7-A1CE-986213EBBAF4}" name="CH7" dataDxfId="3"/>
    <tableColumn id="9" xr3:uid="{844ED2F7-84BD-48E9-B4BD-0E6E236F2000}" name="CH8" dataDxfId="2"/>
    <tableColumn id="10" xr3:uid="{D82D9ABE-7F6D-42FC-9D31-B9FD74B16F85}" name="CH9" dataDxfId="1"/>
    <tableColumn id="11" xr3:uid="{98F3BC24-64FF-4747-AAA2-9E9113E43F51}" name="CH10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9653F-3B43-4A6D-AA55-CB3AA6765B63}">
  <sheetPr codeName="Sheet1"/>
  <dimension ref="B4:K70"/>
  <sheetViews>
    <sheetView topLeftCell="A54" zoomScaleNormal="100" workbookViewId="0">
      <selection activeCell="K81" sqref="K81"/>
    </sheetView>
  </sheetViews>
  <sheetFormatPr defaultColWidth="9.109375" defaultRowHeight="15.6" x14ac:dyDescent="0.3"/>
  <cols>
    <col min="1" max="4" width="9.109375" style="2"/>
    <col min="5" max="11" width="11.88671875" style="40" customWidth="1"/>
    <col min="12" max="16384" width="9.109375" style="2"/>
  </cols>
  <sheetData>
    <row r="4" spans="5:11" x14ac:dyDescent="0.3">
      <c r="E4" s="37" t="s">
        <v>0</v>
      </c>
      <c r="F4" s="37" t="s">
        <v>1</v>
      </c>
      <c r="G4" s="37" t="s">
        <v>2</v>
      </c>
      <c r="H4" s="37" t="s">
        <v>3</v>
      </c>
      <c r="I4" s="37" t="s">
        <v>4</v>
      </c>
      <c r="J4" s="37" t="s">
        <v>5</v>
      </c>
      <c r="K4" s="37" t="s">
        <v>6</v>
      </c>
    </row>
    <row r="5" spans="5:11" x14ac:dyDescent="0.3">
      <c r="E5" s="37" t="s">
        <v>7</v>
      </c>
      <c r="F5" s="37" t="s">
        <v>8</v>
      </c>
      <c r="G5" s="37" t="s">
        <v>9</v>
      </c>
      <c r="H5" s="37" t="s">
        <v>10</v>
      </c>
      <c r="I5" s="37" t="s">
        <v>11</v>
      </c>
      <c r="J5" s="37" t="s">
        <v>12</v>
      </c>
      <c r="K5" s="37" t="s">
        <v>13</v>
      </c>
    </row>
    <row r="6" spans="5:11" x14ac:dyDescent="0.3">
      <c r="E6" s="37" t="s">
        <v>14</v>
      </c>
      <c r="F6" s="37" t="s">
        <v>15</v>
      </c>
      <c r="G6" s="37" t="s">
        <v>16</v>
      </c>
      <c r="H6" s="37" t="s">
        <v>17</v>
      </c>
      <c r="I6" s="37" t="s">
        <v>18</v>
      </c>
      <c r="J6" s="37" t="s">
        <v>19</v>
      </c>
      <c r="K6" s="37" t="s">
        <v>20</v>
      </c>
    </row>
    <row r="7" spans="5:11" x14ac:dyDescent="0.3">
      <c r="E7" s="37" t="s">
        <v>21</v>
      </c>
      <c r="F7" s="37" t="s">
        <v>22</v>
      </c>
      <c r="G7" s="37" t="s">
        <v>23</v>
      </c>
      <c r="H7" s="37" t="s">
        <v>24</v>
      </c>
      <c r="I7" s="37" t="s">
        <v>25</v>
      </c>
      <c r="J7" s="37" t="s">
        <v>26</v>
      </c>
      <c r="K7" s="37" t="s">
        <v>27</v>
      </c>
    </row>
    <row r="8" spans="5:11" x14ac:dyDescent="0.3">
      <c r="E8" s="37" t="s">
        <v>28</v>
      </c>
      <c r="F8" s="37" t="s">
        <v>29</v>
      </c>
      <c r="G8" s="37" t="s">
        <v>30</v>
      </c>
      <c r="H8" s="37" t="s">
        <v>31</v>
      </c>
      <c r="I8" s="37" t="s">
        <v>32</v>
      </c>
      <c r="J8" s="37" t="s">
        <v>33</v>
      </c>
      <c r="K8" s="37" t="s">
        <v>34</v>
      </c>
    </row>
    <row r="9" spans="5:11" x14ac:dyDescent="0.3">
      <c r="E9" s="37" t="s">
        <v>35</v>
      </c>
      <c r="F9" s="37" t="s">
        <v>36</v>
      </c>
      <c r="G9" s="37" t="s">
        <v>37</v>
      </c>
      <c r="H9" s="37" t="s">
        <v>38</v>
      </c>
      <c r="I9" s="37" t="s">
        <v>39</v>
      </c>
      <c r="J9" s="37" t="s">
        <v>40</v>
      </c>
      <c r="K9" s="37" t="s">
        <v>41</v>
      </c>
    </row>
    <row r="10" spans="5:11" x14ac:dyDescent="0.3">
      <c r="E10" s="37" t="s">
        <v>42</v>
      </c>
      <c r="F10" s="37" t="s">
        <v>43</v>
      </c>
      <c r="G10" s="37" t="s">
        <v>44</v>
      </c>
      <c r="H10" s="37" t="s">
        <v>45</v>
      </c>
      <c r="I10" s="37" t="s">
        <v>46</v>
      </c>
      <c r="J10" s="37" t="s">
        <v>47</v>
      </c>
      <c r="K10" s="37" t="s">
        <v>48</v>
      </c>
    </row>
    <row r="11" spans="5:11" x14ac:dyDescent="0.3">
      <c r="E11" s="37" t="s">
        <v>49</v>
      </c>
      <c r="F11" s="37" t="s">
        <v>50</v>
      </c>
      <c r="G11" s="37" t="s">
        <v>51</v>
      </c>
      <c r="H11" s="37" t="s">
        <v>52</v>
      </c>
      <c r="I11" s="37" t="s">
        <v>53</v>
      </c>
      <c r="J11" s="37" t="s">
        <v>54</v>
      </c>
      <c r="K11" s="37" t="s">
        <v>55</v>
      </c>
    </row>
    <row r="12" spans="5:11" x14ac:dyDescent="0.3">
      <c r="E12" s="37" t="s">
        <v>56</v>
      </c>
      <c r="F12" s="37" t="s">
        <v>57</v>
      </c>
      <c r="G12" s="37" t="s">
        <v>58</v>
      </c>
      <c r="H12" s="37" t="s">
        <v>59</v>
      </c>
      <c r="I12" s="37" t="s">
        <v>60</v>
      </c>
      <c r="J12" s="37" t="s">
        <v>61</v>
      </c>
      <c r="K12" s="37" t="s">
        <v>62</v>
      </c>
    </row>
    <row r="13" spans="5:11" x14ac:dyDescent="0.3">
      <c r="E13" s="37" t="s">
        <v>63</v>
      </c>
      <c r="F13" s="37" t="s">
        <v>64</v>
      </c>
      <c r="G13" s="37" t="s">
        <v>65</v>
      </c>
      <c r="H13" s="37" t="s">
        <v>66</v>
      </c>
      <c r="I13" s="37" t="s">
        <v>67</v>
      </c>
      <c r="J13" s="37" t="s">
        <v>68</v>
      </c>
      <c r="K13" s="37" t="s">
        <v>69</v>
      </c>
    </row>
    <row r="14" spans="5:11" x14ac:dyDescent="0.3">
      <c r="E14" s="37" t="s">
        <v>70</v>
      </c>
      <c r="F14" s="37" t="s">
        <v>71</v>
      </c>
      <c r="G14" s="37" t="s">
        <v>72</v>
      </c>
      <c r="H14" s="37" t="s">
        <v>73</v>
      </c>
      <c r="I14" s="37" t="s">
        <v>74</v>
      </c>
      <c r="J14" s="37" t="s">
        <v>75</v>
      </c>
      <c r="K14" s="37" t="s">
        <v>76</v>
      </c>
    </row>
    <row r="15" spans="5:11" x14ac:dyDescent="0.3">
      <c r="E15" s="37" t="s">
        <v>77</v>
      </c>
      <c r="F15" s="37" t="s">
        <v>78</v>
      </c>
      <c r="G15" s="37" t="s">
        <v>79</v>
      </c>
      <c r="H15" s="37" t="s">
        <v>80</v>
      </c>
      <c r="I15" s="37" t="s">
        <v>81</v>
      </c>
      <c r="J15" s="37" t="s">
        <v>82</v>
      </c>
      <c r="K15" s="37" t="s">
        <v>83</v>
      </c>
    </row>
    <row r="17" spans="2:11" x14ac:dyDescent="0.3">
      <c r="B17" s="2">
        <v>20</v>
      </c>
      <c r="C17" s="2">
        <v>420</v>
      </c>
      <c r="E17" s="37">
        <f>B17+(C17*0)</f>
        <v>20</v>
      </c>
      <c r="F17" s="37">
        <f>$B$17+($C$17*1)</f>
        <v>440</v>
      </c>
      <c r="G17" s="37">
        <f>$B$17+($C$17*2)</f>
        <v>860</v>
      </c>
      <c r="H17" s="37">
        <f>$B$17+($C$17*3)</f>
        <v>1280</v>
      </c>
      <c r="I17" s="37">
        <f>$B$17+($C$17*4)</f>
        <v>1700</v>
      </c>
      <c r="J17" s="37">
        <f>$B$17+($C$17*5)</f>
        <v>2120</v>
      </c>
      <c r="K17" s="37">
        <f>$B$17+($C$17*6)</f>
        <v>2540</v>
      </c>
    </row>
    <row r="18" spans="2:11" x14ac:dyDescent="0.3">
      <c r="E18" s="37">
        <f>B17+(C17*0)</f>
        <v>20</v>
      </c>
      <c r="F18" s="37">
        <f t="shared" ref="F18:F28" si="0">$B$17+($C$17*1)</f>
        <v>440</v>
      </c>
      <c r="G18" s="37">
        <f t="shared" ref="G18:G28" si="1">$B$17+($C$17*2)</f>
        <v>860</v>
      </c>
      <c r="H18" s="37">
        <f t="shared" ref="H18:H28" si="2">$B$17+($C$17*3)</f>
        <v>1280</v>
      </c>
      <c r="I18" s="37">
        <f t="shared" ref="I18:I28" si="3">$B$17+($C$17*4)</f>
        <v>1700</v>
      </c>
      <c r="J18" s="37">
        <f t="shared" ref="J18:J28" si="4">$B$17+($C$17*5)</f>
        <v>2120</v>
      </c>
      <c r="K18" s="37">
        <f t="shared" ref="K18:K28" si="5">$B$17+($C$17*6)</f>
        <v>2540</v>
      </c>
    </row>
    <row r="19" spans="2:11" x14ac:dyDescent="0.3">
      <c r="E19" s="37">
        <f>$B$17+($C$17*0)</f>
        <v>20</v>
      </c>
      <c r="F19" s="37">
        <f t="shared" si="0"/>
        <v>440</v>
      </c>
      <c r="G19" s="37">
        <f t="shared" si="1"/>
        <v>860</v>
      </c>
      <c r="H19" s="37">
        <f t="shared" si="2"/>
        <v>1280</v>
      </c>
      <c r="I19" s="37">
        <f t="shared" si="3"/>
        <v>1700</v>
      </c>
      <c r="J19" s="37">
        <f t="shared" si="4"/>
        <v>2120</v>
      </c>
      <c r="K19" s="37">
        <f t="shared" si="5"/>
        <v>2540</v>
      </c>
    </row>
    <row r="20" spans="2:11" x14ac:dyDescent="0.3">
      <c r="E20" s="37">
        <f t="shared" ref="E20:E28" si="6">$B$17+($C$17*0)</f>
        <v>20</v>
      </c>
      <c r="F20" s="37">
        <f t="shared" si="0"/>
        <v>440</v>
      </c>
      <c r="G20" s="37">
        <f t="shared" si="1"/>
        <v>860</v>
      </c>
      <c r="H20" s="37">
        <f t="shared" si="2"/>
        <v>1280</v>
      </c>
      <c r="I20" s="37">
        <f t="shared" si="3"/>
        <v>1700</v>
      </c>
      <c r="J20" s="37">
        <f t="shared" si="4"/>
        <v>2120</v>
      </c>
      <c r="K20" s="37">
        <f t="shared" si="5"/>
        <v>2540</v>
      </c>
    </row>
    <row r="21" spans="2:11" x14ac:dyDescent="0.3">
      <c r="E21" s="37">
        <f t="shared" si="6"/>
        <v>20</v>
      </c>
      <c r="F21" s="37">
        <f t="shared" si="0"/>
        <v>440</v>
      </c>
      <c r="G21" s="37">
        <f t="shared" si="1"/>
        <v>860</v>
      </c>
      <c r="H21" s="37">
        <f t="shared" si="2"/>
        <v>1280</v>
      </c>
      <c r="I21" s="37">
        <f t="shared" si="3"/>
        <v>1700</v>
      </c>
      <c r="J21" s="37">
        <f t="shared" si="4"/>
        <v>2120</v>
      </c>
      <c r="K21" s="37">
        <f t="shared" si="5"/>
        <v>2540</v>
      </c>
    </row>
    <row r="22" spans="2:11" x14ac:dyDescent="0.3">
      <c r="E22" s="37">
        <f t="shared" si="6"/>
        <v>20</v>
      </c>
      <c r="F22" s="37">
        <f t="shared" si="0"/>
        <v>440</v>
      </c>
      <c r="G22" s="37">
        <f t="shared" si="1"/>
        <v>860</v>
      </c>
      <c r="H22" s="37">
        <f t="shared" si="2"/>
        <v>1280</v>
      </c>
      <c r="I22" s="37">
        <f t="shared" si="3"/>
        <v>1700</v>
      </c>
      <c r="J22" s="37">
        <f t="shared" si="4"/>
        <v>2120</v>
      </c>
      <c r="K22" s="37">
        <f t="shared" si="5"/>
        <v>2540</v>
      </c>
    </row>
    <row r="23" spans="2:11" x14ac:dyDescent="0.3">
      <c r="E23" s="37">
        <f t="shared" si="6"/>
        <v>20</v>
      </c>
      <c r="F23" s="37">
        <f t="shared" si="0"/>
        <v>440</v>
      </c>
      <c r="G23" s="37">
        <f t="shared" si="1"/>
        <v>860</v>
      </c>
      <c r="H23" s="37">
        <f t="shared" si="2"/>
        <v>1280</v>
      </c>
      <c r="I23" s="37">
        <f t="shared" si="3"/>
        <v>1700</v>
      </c>
      <c r="J23" s="37">
        <f t="shared" si="4"/>
        <v>2120</v>
      </c>
      <c r="K23" s="37">
        <f t="shared" si="5"/>
        <v>2540</v>
      </c>
    </row>
    <row r="24" spans="2:11" x14ac:dyDescent="0.3">
      <c r="E24" s="37">
        <f t="shared" si="6"/>
        <v>20</v>
      </c>
      <c r="F24" s="37">
        <f t="shared" si="0"/>
        <v>440</v>
      </c>
      <c r="G24" s="37">
        <f t="shared" si="1"/>
        <v>860</v>
      </c>
      <c r="H24" s="37">
        <f t="shared" si="2"/>
        <v>1280</v>
      </c>
      <c r="I24" s="37">
        <f t="shared" si="3"/>
        <v>1700</v>
      </c>
      <c r="J24" s="37">
        <f t="shared" si="4"/>
        <v>2120</v>
      </c>
      <c r="K24" s="37">
        <f t="shared" si="5"/>
        <v>2540</v>
      </c>
    </row>
    <row r="25" spans="2:11" x14ac:dyDescent="0.3">
      <c r="E25" s="37">
        <f t="shared" si="6"/>
        <v>20</v>
      </c>
      <c r="F25" s="37">
        <f t="shared" si="0"/>
        <v>440</v>
      </c>
      <c r="G25" s="37">
        <f t="shared" si="1"/>
        <v>860</v>
      </c>
      <c r="H25" s="37">
        <f t="shared" si="2"/>
        <v>1280</v>
      </c>
      <c r="I25" s="37">
        <f t="shared" si="3"/>
        <v>1700</v>
      </c>
      <c r="J25" s="37">
        <f t="shared" si="4"/>
        <v>2120</v>
      </c>
      <c r="K25" s="37">
        <f t="shared" si="5"/>
        <v>2540</v>
      </c>
    </row>
    <row r="26" spans="2:11" x14ac:dyDescent="0.3">
      <c r="E26" s="37">
        <f t="shared" si="6"/>
        <v>20</v>
      </c>
      <c r="F26" s="37">
        <f t="shared" si="0"/>
        <v>440</v>
      </c>
      <c r="G26" s="37">
        <f t="shared" si="1"/>
        <v>860</v>
      </c>
      <c r="H26" s="37">
        <f t="shared" si="2"/>
        <v>1280</v>
      </c>
      <c r="I26" s="37">
        <f t="shared" si="3"/>
        <v>1700</v>
      </c>
      <c r="J26" s="37">
        <f t="shared" si="4"/>
        <v>2120</v>
      </c>
      <c r="K26" s="37">
        <f t="shared" si="5"/>
        <v>2540</v>
      </c>
    </row>
    <row r="27" spans="2:11" x14ac:dyDescent="0.3">
      <c r="E27" s="37">
        <f t="shared" si="6"/>
        <v>20</v>
      </c>
      <c r="F27" s="37">
        <f t="shared" si="0"/>
        <v>440</v>
      </c>
      <c r="G27" s="37">
        <f t="shared" si="1"/>
        <v>860</v>
      </c>
      <c r="H27" s="37">
        <f t="shared" si="2"/>
        <v>1280</v>
      </c>
      <c r="I27" s="37">
        <f t="shared" si="3"/>
        <v>1700</v>
      </c>
      <c r="J27" s="37">
        <f t="shared" si="4"/>
        <v>2120</v>
      </c>
      <c r="K27" s="37">
        <f t="shared" si="5"/>
        <v>2540</v>
      </c>
    </row>
    <row r="28" spans="2:11" x14ac:dyDescent="0.3">
      <c r="E28" s="37">
        <f t="shared" si="6"/>
        <v>20</v>
      </c>
      <c r="F28" s="37">
        <f t="shared" si="0"/>
        <v>440</v>
      </c>
      <c r="G28" s="37">
        <f t="shared" si="1"/>
        <v>860</v>
      </c>
      <c r="H28" s="37">
        <f t="shared" si="2"/>
        <v>1280</v>
      </c>
      <c r="I28" s="37">
        <f t="shared" si="3"/>
        <v>1700</v>
      </c>
      <c r="J28" s="37">
        <f t="shared" si="4"/>
        <v>2120</v>
      </c>
      <c r="K28" s="37">
        <f t="shared" si="5"/>
        <v>2540</v>
      </c>
    </row>
    <row r="31" spans="2:11" x14ac:dyDescent="0.3">
      <c r="B31" s="2">
        <v>20</v>
      </c>
      <c r="E31" s="37">
        <f t="shared" ref="E31:K31" si="7">$B$31+($B$32*0)</f>
        <v>20</v>
      </c>
      <c r="F31" s="37">
        <f t="shared" si="7"/>
        <v>20</v>
      </c>
      <c r="G31" s="37">
        <f t="shared" si="7"/>
        <v>20</v>
      </c>
      <c r="H31" s="37">
        <f t="shared" si="7"/>
        <v>20</v>
      </c>
      <c r="I31" s="37">
        <f t="shared" si="7"/>
        <v>20</v>
      </c>
      <c r="J31" s="37">
        <f t="shared" si="7"/>
        <v>20</v>
      </c>
      <c r="K31" s="37">
        <f t="shared" si="7"/>
        <v>20</v>
      </c>
    </row>
    <row r="32" spans="2:11" x14ac:dyDescent="0.3">
      <c r="B32" s="2">
        <v>36</v>
      </c>
      <c r="E32" s="37">
        <f t="shared" ref="E32:K32" si="8">$B$31+($B$32*1)</f>
        <v>56</v>
      </c>
      <c r="F32" s="37">
        <f t="shared" si="8"/>
        <v>56</v>
      </c>
      <c r="G32" s="37">
        <f t="shared" si="8"/>
        <v>56</v>
      </c>
      <c r="H32" s="37">
        <f t="shared" si="8"/>
        <v>56</v>
      </c>
      <c r="I32" s="37">
        <f t="shared" si="8"/>
        <v>56</v>
      </c>
      <c r="J32" s="37">
        <f t="shared" si="8"/>
        <v>56</v>
      </c>
      <c r="K32" s="37">
        <f t="shared" si="8"/>
        <v>56</v>
      </c>
    </row>
    <row r="33" spans="5:11" x14ac:dyDescent="0.3">
      <c r="E33" s="37">
        <f t="shared" ref="E33:K33" si="9">$B$31+($B$32*2)</f>
        <v>92</v>
      </c>
      <c r="F33" s="37">
        <f t="shared" si="9"/>
        <v>92</v>
      </c>
      <c r="G33" s="37">
        <f t="shared" si="9"/>
        <v>92</v>
      </c>
      <c r="H33" s="37">
        <f t="shared" si="9"/>
        <v>92</v>
      </c>
      <c r="I33" s="37">
        <f t="shared" si="9"/>
        <v>92</v>
      </c>
      <c r="J33" s="37">
        <f t="shared" si="9"/>
        <v>92</v>
      </c>
      <c r="K33" s="37">
        <f t="shared" si="9"/>
        <v>92</v>
      </c>
    </row>
    <row r="34" spans="5:11" x14ac:dyDescent="0.3">
      <c r="E34" s="37">
        <f t="shared" ref="E34:K34" si="10">$B$31+($B$32*3)</f>
        <v>128</v>
      </c>
      <c r="F34" s="37">
        <f t="shared" si="10"/>
        <v>128</v>
      </c>
      <c r="G34" s="37">
        <f t="shared" si="10"/>
        <v>128</v>
      </c>
      <c r="H34" s="37">
        <f t="shared" si="10"/>
        <v>128</v>
      </c>
      <c r="I34" s="37">
        <f t="shared" si="10"/>
        <v>128</v>
      </c>
      <c r="J34" s="37">
        <f t="shared" si="10"/>
        <v>128</v>
      </c>
      <c r="K34" s="37">
        <f t="shared" si="10"/>
        <v>128</v>
      </c>
    </row>
    <row r="35" spans="5:11" x14ac:dyDescent="0.3">
      <c r="E35" s="37">
        <f t="shared" ref="E35:K35" si="11">$B$31+($B$32*4)</f>
        <v>164</v>
      </c>
      <c r="F35" s="37">
        <f t="shared" si="11"/>
        <v>164</v>
      </c>
      <c r="G35" s="37">
        <f t="shared" si="11"/>
        <v>164</v>
      </c>
      <c r="H35" s="37">
        <f t="shared" si="11"/>
        <v>164</v>
      </c>
      <c r="I35" s="37">
        <f t="shared" si="11"/>
        <v>164</v>
      </c>
      <c r="J35" s="37">
        <f t="shared" si="11"/>
        <v>164</v>
      </c>
      <c r="K35" s="37">
        <f t="shared" si="11"/>
        <v>164</v>
      </c>
    </row>
    <row r="36" spans="5:11" x14ac:dyDescent="0.3">
      <c r="E36" s="37">
        <f t="shared" ref="E36:K36" si="12">$B$31+($B$32*5)</f>
        <v>200</v>
      </c>
      <c r="F36" s="37">
        <f t="shared" si="12"/>
        <v>200</v>
      </c>
      <c r="G36" s="37">
        <f t="shared" si="12"/>
        <v>200</v>
      </c>
      <c r="H36" s="37">
        <f t="shared" si="12"/>
        <v>200</v>
      </c>
      <c r="I36" s="37">
        <f t="shared" si="12"/>
        <v>200</v>
      </c>
      <c r="J36" s="37">
        <f t="shared" si="12"/>
        <v>200</v>
      </c>
      <c r="K36" s="37">
        <f t="shared" si="12"/>
        <v>200</v>
      </c>
    </row>
    <row r="37" spans="5:11" x14ac:dyDescent="0.3">
      <c r="E37" s="37">
        <f t="shared" ref="E37:K37" si="13">$B$31+($B$32*6)</f>
        <v>236</v>
      </c>
      <c r="F37" s="37">
        <f t="shared" si="13"/>
        <v>236</v>
      </c>
      <c r="G37" s="37">
        <f t="shared" si="13"/>
        <v>236</v>
      </c>
      <c r="H37" s="37">
        <f t="shared" si="13"/>
        <v>236</v>
      </c>
      <c r="I37" s="37">
        <f t="shared" si="13"/>
        <v>236</v>
      </c>
      <c r="J37" s="37">
        <f t="shared" si="13"/>
        <v>236</v>
      </c>
      <c r="K37" s="37">
        <f t="shared" si="13"/>
        <v>236</v>
      </c>
    </row>
    <row r="38" spans="5:11" x14ac:dyDescent="0.3">
      <c r="E38" s="37">
        <f t="shared" ref="E38:K38" si="14">$B$31+($B$32*7)</f>
        <v>272</v>
      </c>
      <c r="F38" s="37">
        <f t="shared" si="14"/>
        <v>272</v>
      </c>
      <c r="G38" s="37">
        <f t="shared" si="14"/>
        <v>272</v>
      </c>
      <c r="H38" s="37">
        <f t="shared" si="14"/>
        <v>272</v>
      </c>
      <c r="I38" s="37">
        <f t="shared" si="14"/>
        <v>272</v>
      </c>
      <c r="J38" s="37">
        <f t="shared" si="14"/>
        <v>272</v>
      </c>
      <c r="K38" s="37">
        <f t="shared" si="14"/>
        <v>272</v>
      </c>
    </row>
    <row r="39" spans="5:11" x14ac:dyDescent="0.3">
      <c r="E39" s="37">
        <f t="shared" ref="E39:K39" si="15">$B$31+($B$32*8)</f>
        <v>308</v>
      </c>
      <c r="F39" s="37">
        <f t="shared" si="15"/>
        <v>308</v>
      </c>
      <c r="G39" s="37">
        <f t="shared" si="15"/>
        <v>308</v>
      </c>
      <c r="H39" s="37">
        <f t="shared" si="15"/>
        <v>308</v>
      </c>
      <c r="I39" s="37">
        <f t="shared" si="15"/>
        <v>308</v>
      </c>
      <c r="J39" s="37">
        <f t="shared" si="15"/>
        <v>308</v>
      </c>
      <c r="K39" s="37">
        <f t="shared" si="15"/>
        <v>308</v>
      </c>
    </row>
    <row r="40" spans="5:11" x14ac:dyDescent="0.3">
      <c r="E40" s="37">
        <f t="shared" ref="E40:K40" si="16">$B$31+($B$32*9)</f>
        <v>344</v>
      </c>
      <c r="F40" s="37">
        <f t="shared" si="16"/>
        <v>344</v>
      </c>
      <c r="G40" s="37">
        <f t="shared" si="16"/>
        <v>344</v>
      </c>
      <c r="H40" s="37">
        <f t="shared" si="16"/>
        <v>344</v>
      </c>
      <c r="I40" s="37">
        <f t="shared" si="16"/>
        <v>344</v>
      </c>
      <c r="J40" s="37">
        <f t="shared" si="16"/>
        <v>344</v>
      </c>
      <c r="K40" s="37">
        <f t="shared" si="16"/>
        <v>344</v>
      </c>
    </row>
    <row r="41" spans="5:11" x14ac:dyDescent="0.3">
      <c r="E41" s="37">
        <f t="shared" ref="E41:K41" si="17">$B$31+($B$32*10)</f>
        <v>380</v>
      </c>
      <c r="F41" s="37">
        <f t="shared" si="17"/>
        <v>380</v>
      </c>
      <c r="G41" s="37">
        <f t="shared" si="17"/>
        <v>380</v>
      </c>
      <c r="H41" s="37">
        <f t="shared" si="17"/>
        <v>380</v>
      </c>
      <c r="I41" s="37">
        <f t="shared" si="17"/>
        <v>380</v>
      </c>
      <c r="J41" s="37">
        <f t="shared" si="17"/>
        <v>380</v>
      </c>
      <c r="K41" s="37">
        <f t="shared" si="17"/>
        <v>380</v>
      </c>
    </row>
    <row r="42" spans="5:11" x14ac:dyDescent="0.3">
      <c r="E42" s="37">
        <f t="shared" ref="E42:K42" si="18">$B$31+($B$32*11)</f>
        <v>416</v>
      </c>
      <c r="F42" s="37">
        <f t="shared" si="18"/>
        <v>416</v>
      </c>
      <c r="G42" s="37">
        <f t="shared" si="18"/>
        <v>416</v>
      </c>
      <c r="H42" s="37">
        <f t="shared" si="18"/>
        <v>416</v>
      </c>
      <c r="I42" s="37">
        <f t="shared" si="18"/>
        <v>416</v>
      </c>
      <c r="J42" s="37">
        <f t="shared" si="18"/>
        <v>416</v>
      </c>
      <c r="K42" s="37">
        <f t="shared" si="18"/>
        <v>416</v>
      </c>
    </row>
    <row r="45" spans="5:11" s="3" customFormat="1" ht="31.5" customHeight="1" x14ac:dyDescent="0.3">
      <c r="E45" s="38" t="str">
        <f t="shared" ref="E45:K56" si="19">_xlfn.CONCAT(E4," ",E17," X ", ,E31)</f>
        <v>M700 R0 C0 20 X 20</v>
      </c>
      <c r="F45" s="38" t="str">
        <f t="shared" si="19"/>
        <v>M700 R0 C1 440 X 20</v>
      </c>
      <c r="G45" s="38" t="str">
        <f t="shared" si="19"/>
        <v>M700 R0 C2 860 X 20</v>
      </c>
      <c r="H45" s="38" t="str">
        <f t="shared" si="19"/>
        <v>M700 R0 C3 1280 X 20</v>
      </c>
      <c r="I45" s="38" t="str">
        <f t="shared" si="19"/>
        <v>M700 R0 C4 1700 X 20</v>
      </c>
      <c r="J45" s="38" t="str">
        <f t="shared" si="19"/>
        <v>M700 R0 C5 2120 X 20</v>
      </c>
      <c r="K45" s="38" t="str">
        <f t="shared" si="19"/>
        <v>M700 R0 C6 2540 X 20</v>
      </c>
    </row>
    <row r="46" spans="5:11" s="3" customFormat="1" ht="31.5" customHeight="1" x14ac:dyDescent="0.3">
      <c r="E46" s="38" t="str">
        <f t="shared" si="19"/>
        <v>M700 R1 C0 20 X 56</v>
      </c>
      <c r="F46" s="38" t="str">
        <f t="shared" si="19"/>
        <v>M700 R1 C1 440 X 56</v>
      </c>
      <c r="G46" s="38" t="str">
        <f t="shared" si="19"/>
        <v>M700 R1 C2 860 X 56</v>
      </c>
      <c r="H46" s="38" t="str">
        <f t="shared" si="19"/>
        <v>M700 R1 C3 1280 X 56</v>
      </c>
      <c r="I46" s="38" t="str">
        <f t="shared" si="19"/>
        <v>M700 R1 C4 1700 X 56</v>
      </c>
      <c r="J46" s="38" t="str">
        <f t="shared" si="19"/>
        <v>M700 R1 C5 2120 X 56</v>
      </c>
      <c r="K46" s="38" t="str">
        <f t="shared" si="19"/>
        <v>M700 R1 C6 2540 X 56</v>
      </c>
    </row>
    <row r="47" spans="5:11" s="3" customFormat="1" ht="31.5" customHeight="1" x14ac:dyDescent="0.3">
      <c r="E47" s="38" t="str">
        <f t="shared" si="19"/>
        <v>M700 R2 C0 20 X 92</v>
      </c>
      <c r="F47" s="38" t="str">
        <f t="shared" si="19"/>
        <v>M700 R2 C1 440 X 92</v>
      </c>
      <c r="G47" s="38" t="str">
        <f t="shared" si="19"/>
        <v>M700 R2 C2 860 X 92</v>
      </c>
      <c r="H47" s="38" t="str">
        <f t="shared" si="19"/>
        <v>M700 R2 C3 1280 X 92</v>
      </c>
      <c r="I47" s="38" t="str">
        <f t="shared" si="19"/>
        <v>M700 R2 C4 1700 X 92</v>
      </c>
      <c r="J47" s="38" t="str">
        <f t="shared" si="19"/>
        <v>M700 R2 C5 2120 X 92</v>
      </c>
      <c r="K47" s="38" t="str">
        <f t="shared" si="19"/>
        <v>M700 R2 C6 2540 X 92</v>
      </c>
    </row>
    <row r="48" spans="5:11" s="3" customFormat="1" ht="31.5" customHeight="1" x14ac:dyDescent="0.3">
      <c r="E48" s="38" t="str">
        <f t="shared" si="19"/>
        <v>M700 R3 C0 20 X 128</v>
      </c>
      <c r="F48" s="38" t="str">
        <f t="shared" si="19"/>
        <v>M700 R3 C1 440 X 128</v>
      </c>
      <c r="G48" s="38" t="str">
        <f t="shared" si="19"/>
        <v>M700 R3 C2 860 X 128</v>
      </c>
      <c r="H48" s="38" t="str">
        <f t="shared" si="19"/>
        <v>M700 R3 C3 1280 X 128</v>
      </c>
      <c r="I48" s="38" t="str">
        <f t="shared" si="19"/>
        <v>M700 R3 C4 1700 X 128</v>
      </c>
      <c r="J48" s="38" t="str">
        <f t="shared" si="19"/>
        <v>M700 R3 C5 2120 X 128</v>
      </c>
      <c r="K48" s="38" t="str">
        <f t="shared" si="19"/>
        <v>M700 R3 C6 2540 X 128</v>
      </c>
    </row>
    <row r="49" spans="5:11" s="3" customFormat="1" ht="31.5" customHeight="1" x14ac:dyDescent="0.3">
      <c r="E49" s="38" t="str">
        <f t="shared" si="19"/>
        <v>M700 R4 C0 20 X 164</v>
      </c>
      <c r="F49" s="38" t="str">
        <f t="shared" si="19"/>
        <v>M700 R4 C1 440 X 164</v>
      </c>
      <c r="G49" s="38" t="str">
        <f t="shared" si="19"/>
        <v>M700 R4 C2 860 X 164</v>
      </c>
      <c r="H49" s="38" t="str">
        <f t="shared" si="19"/>
        <v>M700 R4 C3 1280 X 164</v>
      </c>
      <c r="I49" s="38" t="str">
        <f t="shared" si="19"/>
        <v>M700 R4 C4 1700 X 164</v>
      </c>
      <c r="J49" s="38" t="str">
        <f t="shared" si="19"/>
        <v>M700 R4 C5 2120 X 164</v>
      </c>
      <c r="K49" s="38" t="str">
        <f t="shared" si="19"/>
        <v>M700 R4 C6 2540 X 164</v>
      </c>
    </row>
    <row r="50" spans="5:11" s="3" customFormat="1" ht="31.5" customHeight="1" x14ac:dyDescent="0.3">
      <c r="E50" s="38" t="str">
        <f t="shared" si="19"/>
        <v>M700 R5 C0 20 X 200</v>
      </c>
      <c r="F50" s="38" t="str">
        <f t="shared" si="19"/>
        <v>M700 R5 C1 440 X 200</v>
      </c>
      <c r="G50" s="38" t="str">
        <f t="shared" si="19"/>
        <v>M700 R5 C2 860 X 200</v>
      </c>
      <c r="H50" s="38" t="str">
        <f t="shared" si="19"/>
        <v>M700 R5 C3 1280 X 200</v>
      </c>
      <c r="I50" s="38" t="str">
        <f t="shared" si="19"/>
        <v>M700 R5 C4 1700 X 200</v>
      </c>
      <c r="J50" s="38" t="str">
        <f t="shared" si="19"/>
        <v>M700 R5 C5 2120 X 200</v>
      </c>
      <c r="K50" s="38" t="str">
        <f t="shared" si="19"/>
        <v>M700 R5 C6 2540 X 200</v>
      </c>
    </row>
    <row r="51" spans="5:11" s="3" customFormat="1" ht="31.5" customHeight="1" x14ac:dyDescent="0.3">
      <c r="E51" s="38" t="str">
        <f t="shared" si="19"/>
        <v>M700 R6 C0 20 X 236</v>
      </c>
      <c r="F51" s="38" t="str">
        <f t="shared" si="19"/>
        <v>M700 R6 C1 440 X 236</v>
      </c>
      <c r="G51" s="38" t="str">
        <f t="shared" si="19"/>
        <v>M700 R6 C2 860 X 236</v>
      </c>
      <c r="H51" s="38" t="str">
        <f t="shared" si="19"/>
        <v>M700 R6 C3 1280 X 236</v>
      </c>
      <c r="I51" s="38" t="str">
        <f t="shared" si="19"/>
        <v>M700 R6 C4 1700 X 236</v>
      </c>
      <c r="J51" s="38" t="str">
        <f t="shared" si="19"/>
        <v>M700 R6 C5 2120 X 236</v>
      </c>
      <c r="K51" s="38" t="str">
        <f t="shared" si="19"/>
        <v>M700 R6 C6 2540 X 236</v>
      </c>
    </row>
    <row r="52" spans="5:11" s="3" customFormat="1" ht="31.5" customHeight="1" x14ac:dyDescent="0.3">
      <c r="E52" s="38" t="str">
        <f t="shared" si="19"/>
        <v>M700 R7 C0 20 X 272</v>
      </c>
      <c r="F52" s="38" t="str">
        <f t="shared" si="19"/>
        <v>M700 R7 C1 440 X 272</v>
      </c>
      <c r="G52" s="38" t="str">
        <f t="shared" si="19"/>
        <v>M700 R7 C2 860 X 272</v>
      </c>
      <c r="H52" s="38" t="str">
        <f t="shared" si="19"/>
        <v>M700 R7 C3 1280 X 272</v>
      </c>
      <c r="I52" s="38" t="str">
        <f t="shared" si="19"/>
        <v>M700 R7 C4 1700 X 272</v>
      </c>
      <c r="J52" s="38" t="str">
        <f t="shared" si="19"/>
        <v>M700 R7 C5 2120 X 272</v>
      </c>
      <c r="K52" s="38" t="str">
        <f t="shared" si="19"/>
        <v>M700 R7 C6 2540 X 272</v>
      </c>
    </row>
    <row r="53" spans="5:11" s="3" customFormat="1" ht="31.5" customHeight="1" x14ac:dyDescent="0.3">
      <c r="E53" s="38" t="str">
        <f t="shared" si="19"/>
        <v>M700 R8 C0 20 X 308</v>
      </c>
      <c r="F53" s="38" t="str">
        <f t="shared" si="19"/>
        <v>M700 R8 C1 440 X 308</v>
      </c>
      <c r="G53" s="38" t="str">
        <f t="shared" si="19"/>
        <v>M700 R8 C2 860 X 308</v>
      </c>
      <c r="H53" s="38" t="str">
        <f t="shared" si="19"/>
        <v>M700 R8 C3 1280 X 308</v>
      </c>
      <c r="I53" s="38" t="str">
        <f t="shared" si="19"/>
        <v>M700 R8 C4 1700 X 308</v>
      </c>
      <c r="J53" s="38" t="str">
        <f t="shared" si="19"/>
        <v>M700 R8 C5 2120 X 308</v>
      </c>
      <c r="K53" s="38" t="str">
        <f t="shared" si="19"/>
        <v>M700 R8 C6 2540 X 308</v>
      </c>
    </row>
    <row r="54" spans="5:11" s="3" customFormat="1" ht="31.5" customHeight="1" x14ac:dyDescent="0.3">
      <c r="E54" s="38" t="str">
        <f t="shared" si="19"/>
        <v>M700 R9 C0 20 X 344</v>
      </c>
      <c r="F54" s="38" t="str">
        <f t="shared" si="19"/>
        <v>M700 R9 C1 440 X 344</v>
      </c>
      <c r="G54" s="38" t="str">
        <f t="shared" si="19"/>
        <v>M700 R9 C2 860 X 344</v>
      </c>
      <c r="H54" s="38" t="str">
        <f t="shared" si="19"/>
        <v>M700 R9 C3 1280 X 344</v>
      </c>
      <c r="I54" s="38" t="str">
        <f t="shared" si="19"/>
        <v>M700 R9 C4 1700 X 344</v>
      </c>
      <c r="J54" s="38" t="str">
        <f t="shared" si="19"/>
        <v>M700 R9 C5 2120 X 344</v>
      </c>
      <c r="K54" s="38" t="str">
        <f t="shared" si="19"/>
        <v>M700 R9 C6 2540 X 344</v>
      </c>
    </row>
    <row r="55" spans="5:11" s="3" customFormat="1" ht="31.5" customHeight="1" x14ac:dyDescent="0.3">
      <c r="E55" s="38" t="str">
        <f t="shared" si="19"/>
        <v>M700 R10 C0 20 X 380</v>
      </c>
      <c r="F55" s="38" t="str">
        <f t="shared" si="19"/>
        <v>M700 R10 C1 440 X 380</v>
      </c>
      <c r="G55" s="38" t="str">
        <f t="shared" si="19"/>
        <v>M700 R10 C2 860 X 380</v>
      </c>
      <c r="H55" s="38" t="str">
        <f t="shared" si="19"/>
        <v>M700 R10 C3 1280 X 380</v>
      </c>
      <c r="I55" s="38" t="str">
        <f t="shared" si="19"/>
        <v>M700 R10 C4 1700 X 380</v>
      </c>
      <c r="J55" s="38" t="str">
        <f t="shared" si="19"/>
        <v>M700 R10 C5 2120 X 380</v>
      </c>
      <c r="K55" s="38" t="str">
        <f t="shared" si="19"/>
        <v>M700 R10 C6 2540 X 380</v>
      </c>
    </row>
    <row r="56" spans="5:11" s="3" customFormat="1" ht="31.5" customHeight="1" x14ac:dyDescent="0.3">
      <c r="E56" s="38" t="str">
        <f t="shared" si="19"/>
        <v>M700 R11 C0 20 X 416</v>
      </c>
      <c r="F56" s="38" t="str">
        <f t="shared" si="19"/>
        <v>M700 R11 C1 440 X 416</v>
      </c>
      <c r="G56" s="38" t="str">
        <f t="shared" si="19"/>
        <v>M700 R11 C2 860 X 416</v>
      </c>
      <c r="H56" s="38" t="str">
        <f t="shared" si="19"/>
        <v>M700 R11 C3 1280 X 416</v>
      </c>
      <c r="I56" s="38" t="str">
        <f t="shared" si="19"/>
        <v>M700 R11 C4 1700 X 416</v>
      </c>
      <c r="J56" s="38" t="str">
        <f t="shared" si="19"/>
        <v>M700 R11 C5 2120 X 416</v>
      </c>
      <c r="K56" s="38" t="str">
        <f t="shared" si="19"/>
        <v>M700 R11 C6 2540 X 416</v>
      </c>
    </row>
    <row r="59" spans="5:11" s="28" customFormat="1" ht="27.6" x14ac:dyDescent="0.3">
      <c r="E59" s="39" t="s">
        <v>120</v>
      </c>
      <c r="F59" s="39" t="s">
        <v>121</v>
      </c>
      <c r="G59" s="39" t="s">
        <v>122</v>
      </c>
      <c r="H59" s="39" t="s">
        <v>123</v>
      </c>
      <c r="I59" s="39" t="s">
        <v>124</v>
      </c>
      <c r="J59" s="39" t="s">
        <v>125</v>
      </c>
      <c r="K59" s="39" t="s">
        <v>126</v>
      </c>
    </row>
    <row r="60" spans="5:11" s="28" customFormat="1" ht="27.6" x14ac:dyDescent="0.3">
      <c r="E60" s="39" t="s">
        <v>127</v>
      </c>
      <c r="F60" s="39" t="s">
        <v>128</v>
      </c>
      <c r="G60" s="39" t="s">
        <v>129</v>
      </c>
      <c r="H60" s="39" t="s">
        <v>130</v>
      </c>
      <c r="I60" s="39" t="s">
        <v>131</v>
      </c>
      <c r="J60" s="39" t="s">
        <v>132</v>
      </c>
      <c r="K60" s="39" t="s">
        <v>133</v>
      </c>
    </row>
    <row r="61" spans="5:11" s="28" customFormat="1" ht="27.6" x14ac:dyDescent="0.3">
      <c r="E61" s="39" t="s">
        <v>134</v>
      </c>
      <c r="F61" s="39" t="s">
        <v>135</v>
      </c>
      <c r="G61" s="39" t="s">
        <v>136</v>
      </c>
      <c r="H61" s="39" t="s">
        <v>137</v>
      </c>
      <c r="I61" s="39" t="s">
        <v>138</v>
      </c>
      <c r="J61" s="39" t="s">
        <v>139</v>
      </c>
      <c r="K61" s="39" t="s">
        <v>140</v>
      </c>
    </row>
    <row r="62" spans="5:11" s="28" customFormat="1" ht="27.6" x14ac:dyDescent="0.3">
      <c r="E62" s="39" t="s">
        <v>141</v>
      </c>
      <c r="F62" s="39" t="s">
        <v>142</v>
      </c>
      <c r="G62" s="39" t="s">
        <v>143</v>
      </c>
      <c r="H62" s="39" t="s">
        <v>144</v>
      </c>
      <c r="I62" s="39" t="s">
        <v>145</v>
      </c>
      <c r="J62" s="39" t="s">
        <v>146</v>
      </c>
      <c r="K62" s="39" t="s">
        <v>147</v>
      </c>
    </row>
    <row r="63" spans="5:11" s="28" customFormat="1" ht="27.6" x14ac:dyDescent="0.3">
      <c r="E63" s="39" t="s">
        <v>148</v>
      </c>
      <c r="F63" s="39" t="s">
        <v>149</v>
      </c>
      <c r="G63" s="39" t="s">
        <v>150</v>
      </c>
      <c r="H63" s="39" t="s">
        <v>151</v>
      </c>
      <c r="I63" s="39" t="s">
        <v>152</v>
      </c>
      <c r="J63" s="39" t="s">
        <v>153</v>
      </c>
      <c r="K63" s="39" t="s">
        <v>154</v>
      </c>
    </row>
    <row r="64" spans="5:11" s="28" customFormat="1" ht="27.6" x14ac:dyDescent="0.3">
      <c r="E64" s="39" t="s">
        <v>155</v>
      </c>
      <c r="F64" s="39" t="s">
        <v>156</v>
      </c>
      <c r="G64" s="39" t="s">
        <v>157</v>
      </c>
      <c r="H64" s="39" t="s">
        <v>158</v>
      </c>
      <c r="I64" s="39" t="s">
        <v>159</v>
      </c>
      <c r="J64" s="39" t="s">
        <v>160</v>
      </c>
      <c r="K64" s="39" t="s">
        <v>161</v>
      </c>
    </row>
    <row r="65" spans="5:11" s="28" customFormat="1" ht="27.6" x14ac:dyDescent="0.3">
      <c r="E65" s="39" t="s">
        <v>162</v>
      </c>
      <c r="F65" s="39" t="s">
        <v>163</v>
      </c>
      <c r="G65" s="39" t="s">
        <v>164</v>
      </c>
      <c r="H65" s="39" t="s">
        <v>165</v>
      </c>
      <c r="I65" s="39" t="s">
        <v>166</v>
      </c>
      <c r="J65" s="39" t="s">
        <v>167</v>
      </c>
      <c r="K65" s="39" t="s">
        <v>168</v>
      </c>
    </row>
    <row r="66" spans="5:11" s="28" customFormat="1" ht="27.6" x14ac:dyDescent="0.3">
      <c r="E66" s="39" t="s">
        <v>169</v>
      </c>
      <c r="F66" s="39" t="s">
        <v>170</v>
      </c>
      <c r="G66" s="39" t="s">
        <v>171</v>
      </c>
      <c r="H66" s="39" t="s">
        <v>172</v>
      </c>
      <c r="I66" s="39" t="s">
        <v>173</v>
      </c>
      <c r="J66" s="39" t="s">
        <v>174</v>
      </c>
      <c r="K66" s="39" t="s">
        <v>175</v>
      </c>
    </row>
    <row r="67" spans="5:11" s="28" customFormat="1" ht="27.6" x14ac:dyDescent="0.3">
      <c r="E67" s="39" t="s">
        <v>176</v>
      </c>
      <c r="F67" s="39" t="s">
        <v>177</v>
      </c>
      <c r="G67" s="39" t="s">
        <v>178</v>
      </c>
      <c r="H67" s="39" t="s">
        <v>179</v>
      </c>
      <c r="I67" s="39" t="s">
        <v>180</v>
      </c>
      <c r="J67" s="39" t="s">
        <v>181</v>
      </c>
      <c r="K67" s="39" t="s">
        <v>182</v>
      </c>
    </row>
    <row r="68" spans="5:11" s="28" customFormat="1" ht="27.6" x14ac:dyDescent="0.3">
      <c r="E68" s="39" t="s">
        <v>183</v>
      </c>
      <c r="F68" s="39" t="s">
        <v>184</v>
      </c>
      <c r="G68" s="39" t="s">
        <v>185</v>
      </c>
      <c r="H68" s="39" t="s">
        <v>186</v>
      </c>
      <c r="I68" s="39" t="s">
        <v>187</v>
      </c>
      <c r="J68" s="39" t="s">
        <v>188</v>
      </c>
      <c r="K68" s="39" t="s">
        <v>189</v>
      </c>
    </row>
    <row r="69" spans="5:11" s="28" customFormat="1" ht="27.6" x14ac:dyDescent="0.3">
      <c r="E69" s="39" t="s">
        <v>190</v>
      </c>
      <c r="F69" s="39" t="s">
        <v>191</v>
      </c>
      <c r="G69" s="39" t="s">
        <v>192</v>
      </c>
      <c r="H69" s="39" t="s">
        <v>193</v>
      </c>
      <c r="I69" s="39" t="s">
        <v>194</v>
      </c>
      <c r="J69" s="39" t="s">
        <v>195</v>
      </c>
      <c r="K69" s="39" t="s">
        <v>196</v>
      </c>
    </row>
    <row r="70" spans="5:11" s="28" customFormat="1" ht="27.6" x14ac:dyDescent="0.3">
      <c r="E70" s="39" t="s">
        <v>197</v>
      </c>
      <c r="F70" s="39" t="s">
        <v>198</v>
      </c>
      <c r="G70" s="39" t="s">
        <v>199</v>
      </c>
      <c r="H70" s="39" t="s">
        <v>200</v>
      </c>
      <c r="I70" s="39" t="s">
        <v>201</v>
      </c>
      <c r="J70" s="39" t="s">
        <v>202</v>
      </c>
      <c r="K70" s="39" t="s">
        <v>203</v>
      </c>
    </row>
  </sheetData>
  <phoneticPr fontId="2" type="noConversion"/>
  <pageMargins left="0.7" right="0.7" top="0.75" bottom="0.75" header="0.3" footer="0.3"/>
  <ignoredErrors>
    <ignoredError sqref="E3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2EB0C-37A0-4206-A93F-C249A87A4598}">
  <sheetPr codeName="Sheet7"/>
  <dimension ref="B4:K71"/>
  <sheetViews>
    <sheetView tabSelected="1" topLeftCell="A54" zoomScaleNormal="100" workbookViewId="0">
      <selection activeCell="G76" sqref="G76"/>
    </sheetView>
  </sheetViews>
  <sheetFormatPr defaultColWidth="9.109375" defaultRowHeight="15.6" x14ac:dyDescent="0.3"/>
  <cols>
    <col min="1" max="4" width="9.109375" style="2"/>
    <col min="5" max="8" width="12.33203125" style="2" customWidth="1"/>
    <col min="9" max="10" width="12.44140625" style="2" customWidth="1"/>
    <col min="11" max="11" width="11.88671875" style="2" customWidth="1"/>
    <col min="12" max="16384" width="9.109375" style="2"/>
  </cols>
  <sheetData>
    <row r="4" spans="5:11" x14ac:dyDescent="0.3">
      <c r="E4" s="1" t="s">
        <v>77</v>
      </c>
      <c r="F4" s="1" t="s">
        <v>78</v>
      </c>
      <c r="G4" s="1" t="s">
        <v>79</v>
      </c>
      <c r="H4" s="1" t="s">
        <v>80</v>
      </c>
      <c r="I4" s="1" t="s">
        <v>81</v>
      </c>
      <c r="J4" s="1" t="s">
        <v>82</v>
      </c>
      <c r="K4" s="1" t="s">
        <v>83</v>
      </c>
    </row>
    <row r="5" spans="5:11" x14ac:dyDescent="0.3">
      <c r="E5" s="1" t="s">
        <v>70</v>
      </c>
      <c r="F5" s="1" t="s">
        <v>71</v>
      </c>
      <c r="G5" s="1" t="s">
        <v>72</v>
      </c>
      <c r="H5" s="1" t="s">
        <v>73</v>
      </c>
      <c r="I5" s="1" t="s">
        <v>74</v>
      </c>
      <c r="J5" s="1" t="s">
        <v>75</v>
      </c>
      <c r="K5" s="1" t="s">
        <v>76</v>
      </c>
    </row>
    <row r="6" spans="5:11" x14ac:dyDescent="0.3">
      <c r="E6" s="1" t="s">
        <v>63</v>
      </c>
      <c r="F6" s="1" t="s">
        <v>64</v>
      </c>
      <c r="G6" s="1" t="s">
        <v>65</v>
      </c>
      <c r="H6" s="1" t="s">
        <v>66</v>
      </c>
      <c r="I6" s="1" t="s">
        <v>67</v>
      </c>
      <c r="J6" s="1" t="s">
        <v>68</v>
      </c>
      <c r="K6" s="1" t="s">
        <v>69</v>
      </c>
    </row>
    <row r="7" spans="5:11" x14ac:dyDescent="0.3">
      <c r="E7" s="1" t="s">
        <v>56</v>
      </c>
      <c r="F7" s="1" t="s">
        <v>57</v>
      </c>
      <c r="G7" s="1" t="s">
        <v>58</v>
      </c>
      <c r="H7" s="1" t="s">
        <v>59</v>
      </c>
      <c r="I7" s="1" t="s">
        <v>60</v>
      </c>
      <c r="J7" s="1" t="s">
        <v>61</v>
      </c>
      <c r="K7" s="1" t="s">
        <v>62</v>
      </c>
    </row>
    <row r="8" spans="5:11" x14ac:dyDescent="0.3">
      <c r="E8" s="1" t="s">
        <v>49</v>
      </c>
      <c r="F8" s="1" t="s">
        <v>50</v>
      </c>
      <c r="G8" s="1" t="s">
        <v>51</v>
      </c>
      <c r="H8" s="1" t="s">
        <v>52</v>
      </c>
      <c r="I8" s="1" t="s">
        <v>53</v>
      </c>
      <c r="J8" s="1" t="s">
        <v>54</v>
      </c>
      <c r="K8" s="1" t="s">
        <v>55</v>
      </c>
    </row>
    <row r="9" spans="5:11" x14ac:dyDescent="0.3">
      <c r="E9" s="1" t="s">
        <v>42</v>
      </c>
      <c r="F9" s="1" t="s">
        <v>43</v>
      </c>
      <c r="G9" s="1" t="s">
        <v>44</v>
      </c>
      <c r="H9" s="1" t="s">
        <v>45</v>
      </c>
      <c r="I9" s="1" t="s">
        <v>46</v>
      </c>
      <c r="J9" s="1" t="s">
        <v>47</v>
      </c>
      <c r="K9" s="1" t="s">
        <v>48</v>
      </c>
    </row>
    <row r="10" spans="5:11" x14ac:dyDescent="0.3">
      <c r="E10" s="1" t="s">
        <v>35</v>
      </c>
      <c r="F10" s="1" t="s">
        <v>36</v>
      </c>
      <c r="G10" s="1" t="s">
        <v>37</v>
      </c>
      <c r="H10" s="1" t="s">
        <v>38</v>
      </c>
      <c r="I10" s="1" t="s">
        <v>39</v>
      </c>
      <c r="J10" s="1" t="s">
        <v>40</v>
      </c>
      <c r="K10" s="1" t="s">
        <v>41</v>
      </c>
    </row>
    <row r="11" spans="5:11" x14ac:dyDescent="0.3">
      <c r="E11" s="1" t="s">
        <v>28</v>
      </c>
      <c r="F11" s="1" t="s">
        <v>29</v>
      </c>
      <c r="G11" s="1" t="s">
        <v>30</v>
      </c>
      <c r="H11" s="1" t="s">
        <v>31</v>
      </c>
      <c r="I11" s="1" t="s">
        <v>32</v>
      </c>
      <c r="J11" s="1" t="s">
        <v>33</v>
      </c>
      <c r="K11" s="1" t="s">
        <v>34</v>
      </c>
    </row>
    <row r="12" spans="5:11" x14ac:dyDescent="0.3">
      <c r="E12" s="1" t="s">
        <v>21</v>
      </c>
      <c r="F12" s="1" t="s">
        <v>22</v>
      </c>
      <c r="G12" s="1" t="s">
        <v>23</v>
      </c>
      <c r="H12" s="1" t="s">
        <v>24</v>
      </c>
      <c r="I12" s="1" t="s">
        <v>25</v>
      </c>
      <c r="J12" s="1" t="s">
        <v>26</v>
      </c>
      <c r="K12" s="1" t="s">
        <v>27</v>
      </c>
    </row>
    <row r="13" spans="5:11" x14ac:dyDescent="0.3">
      <c r="E13" s="1" t="s">
        <v>14</v>
      </c>
      <c r="F13" s="1" t="s">
        <v>15</v>
      </c>
      <c r="G13" s="1" t="s">
        <v>16</v>
      </c>
      <c r="H13" s="1" t="s">
        <v>17</v>
      </c>
      <c r="I13" s="1" t="s">
        <v>18</v>
      </c>
      <c r="J13" s="1" t="s">
        <v>19</v>
      </c>
      <c r="K13" s="1" t="s">
        <v>20</v>
      </c>
    </row>
    <row r="14" spans="5:11" x14ac:dyDescent="0.3">
      <c r="E14" s="1" t="s">
        <v>7</v>
      </c>
      <c r="F14" s="1" t="s">
        <v>8</v>
      </c>
      <c r="G14" s="1" t="s">
        <v>9</v>
      </c>
      <c r="H14" s="1" t="s">
        <v>10</v>
      </c>
      <c r="I14" s="1" t="s">
        <v>11</v>
      </c>
      <c r="J14" s="1" t="s">
        <v>12</v>
      </c>
      <c r="K14" s="1" t="s">
        <v>13</v>
      </c>
    </row>
    <row r="15" spans="5:11" x14ac:dyDescent="0.3">
      <c r="E15" s="1" t="s">
        <v>0</v>
      </c>
      <c r="F15" s="1" t="s">
        <v>1</v>
      </c>
      <c r="G15" s="1" t="s">
        <v>2</v>
      </c>
      <c r="H15" s="1" t="s">
        <v>3</v>
      </c>
      <c r="I15" s="1" t="s">
        <v>4</v>
      </c>
      <c r="J15" s="1" t="s">
        <v>5</v>
      </c>
      <c r="K15" s="1" t="s">
        <v>6</v>
      </c>
    </row>
    <row r="17" spans="2:11" x14ac:dyDescent="0.3">
      <c r="B17" s="2">
        <v>20</v>
      </c>
      <c r="C17" s="2">
        <v>420</v>
      </c>
      <c r="E17" s="1">
        <f>B17+(C17*0)</f>
        <v>20</v>
      </c>
      <c r="F17" s="1">
        <f>$B$17+($C$17*1)</f>
        <v>440</v>
      </c>
      <c r="G17" s="1">
        <f>$B$17+($C$17*2)</f>
        <v>860</v>
      </c>
      <c r="H17" s="1">
        <f>$B$17+($C$17*3)</f>
        <v>1280</v>
      </c>
      <c r="I17" s="1">
        <f>$B$17+($C$17*4)</f>
        <v>1700</v>
      </c>
      <c r="J17" s="1">
        <f>$B$17+($C$17*5)</f>
        <v>2120</v>
      </c>
      <c r="K17" s="1">
        <f>$B$17+($C$17*6)</f>
        <v>2540</v>
      </c>
    </row>
    <row r="18" spans="2:11" x14ac:dyDescent="0.3">
      <c r="E18" s="1">
        <f>B17+(C17*0)</f>
        <v>20</v>
      </c>
      <c r="F18" s="1">
        <f t="shared" ref="F18:F28" si="0">$B$17+($C$17*1)</f>
        <v>440</v>
      </c>
      <c r="G18" s="1">
        <f t="shared" ref="G18:G28" si="1">$B$17+($C$17*2)</f>
        <v>860</v>
      </c>
      <c r="H18" s="1">
        <f t="shared" ref="H18:H28" si="2">$B$17+($C$17*3)</f>
        <v>1280</v>
      </c>
      <c r="I18" s="1">
        <f t="shared" ref="I18:I28" si="3">$B$17+($C$17*4)</f>
        <v>1700</v>
      </c>
      <c r="J18" s="1">
        <f t="shared" ref="J18:J28" si="4">$B$17+($C$17*5)</f>
        <v>2120</v>
      </c>
      <c r="K18" s="1">
        <f t="shared" ref="K18:K28" si="5">$B$17+($C$17*6)</f>
        <v>2540</v>
      </c>
    </row>
    <row r="19" spans="2:11" x14ac:dyDescent="0.3">
      <c r="E19" s="1">
        <f>$B$17+($C$17*0)</f>
        <v>20</v>
      </c>
      <c r="F19" s="1">
        <f t="shared" si="0"/>
        <v>440</v>
      </c>
      <c r="G19" s="1">
        <f t="shared" si="1"/>
        <v>860</v>
      </c>
      <c r="H19" s="1">
        <f t="shared" si="2"/>
        <v>1280</v>
      </c>
      <c r="I19" s="1">
        <f t="shared" si="3"/>
        <v>1700</v>
      </c>
      <c r="J19" s="1">
        <f t="shared" si="4"/>
        <v>2120</v>
      </c>
      <c r="K19" s="1">
        <f t="shared" si="5"/>
        <v>2540</v>
      </c>
    </row>
    <row r="20" spans="2:11" x14ac:dyDescent="0.3">
      <c r="E20" s="1">
        <f t="shared" ref="E20:E28" si="6">$B$17+($C$17*0)</f>
        <v>20</v>
      </c>
      <c r="F20" s="1">
        <f t="shared" si="0"/>
        <v>440</v>
      </c>
      <c r="G20" s="1">
        <f t="shared" si="1"/>
        <v>860</v>
      </c>
      <c r="H20" s="1">
        <f t="shared" si="2"/>
        <v>1280</v>
      </c>
      <c r="I20" s="1">
        <f t="shared" si="3"/>
        <v>1700</v>
      </c>
      <c r="J20" s="1">
        <f t="shared" si="4"/>
        <v>2120</v>
      </c>
      <c r="K20" s="1">
        <f t="shared" si="5"/>
        <v>2540</v>
      </c>
    </row>
    <row r="21" spans="2:11" x14ac:dyDescent="0.3">
      <c r="E21" s="1">
        <f t="shared" si="6"/>
        <v>20</v>
      </c>
      <c r="F21" s="1">
        <f t="shared" si="0"/>
        <v>440</v>
      </c>
      <c r="G21" s="1">
        <f t="shared" si="1"/>
        <v>860</v>
      </c>
      <c r="H21" s="1">
        <f t="shared" si="2"/>
        <v>1280</v>
      </c>
      <c r="I21" s="1">
        <f t="shared" si="3"/>
        <v>1700</v>
      </c>
      <c r="J21" s="1">
        <f t="shared" si="4"/>
        <v>2120</v>
      </c>
      <c r="K21" s="1">
        <f t="shared" si="5"/>
        <v>2540</v>
      </c>
    </row>
    <row r="22" spans="2:11" x14ac:dyDescent="0.3">
      <c r="E22" s="1">
        <f t="shared" si="6"/>
        <v>20</v>
      </c>
      <c r="F22" s="1">
        <f t="shared" si="0"/>
        <v>440</v>
      </c>
      <c r="G22" s="1">
        <f t="shared" si="1"/>
        <v>860</v>
      </c>
      <c r="H22" s="1">
        <f t="shared" si="2"/>
        <v>1280</v>
      </c>
      <c r="I22" s="1">
        <f t="shared" si="3"/>
        <v>1700</v>
      </c>
      <c r="J22" s="1">
        <f t="shared" si="4"/>
        <v>2120</v>
      </c>
      <c r="K22" s="1">
        <f t="shared" si="5"/>
        <v>2540</v>
      </c>
    </row>
    <row r="23" spans="2:11" x14ac:dyDescent="0.3">
      <c r="E23" s="1">
        <f t="shared" si="6"/>
        <v>20</v>
      </c>
      <c r="F23" s="1">
        <f t="shared" si="0"/>
        <v>440</v>
      </c>
      <c r="G23" s="1">
        <f t="shared" si="1"/>
        <v>860</v>
      </c>
      <c r="H23" s="1">
        <f t="shared" si="2"/>
        <v>1280</v>
      </c>
      <c r="I23" s="1">
        <f t="shared" si="3"/>
        <v>1700</v>
      </c>
      <c r="J23" s="1">
        <f t="shared" si="4"/>
        <v>2120</v>
      </c>
      <c r="K23" s="1">
        <f t="shared" si="5"/>
        <v>2540</v>
      </c>
    </row>
    <row r="24" spans="2:11" x14ac:dyDescent="0.3">
      <c r="E24" s="1">
        <f t="shared" si="6"/>
        <v>20</v>
      </c>
      <c r="F24" s="1">
        <f t="shared" si="0"/>
        <v>440</v>
      </c>
      <c r="G24" s="1">
        <f t="shared" si="1"/>
        <v>860</v>
      </c>
      <c r="H24" s="1">
        <f t="shared" si="2"/>
        <v>1280</v>
      </c>
      <c r="I24" s="1">
        <f t="shared" si="3"/>
        <v>1700</v>
      </c>
      <c r="J24" s="1">
        <f t="shared" si="4"/>
        <v>2120</v>
      </c>
      <c r="K24" s="1">
        <f t="shared" si="5"/>
        <v>2540</v>
      </c>
    </row>
    <row r="25" spans="2:11" x14ac:dyDescent="0.3">
      <c r="E25" s="1">
        <f t="shared" si="6"/>
        <v>20</v>
      </c>
      <c r="F25" s="1">
        <f t="shared" si="0"/>
        <v>440</v>
      </c>
      <c r="G25" s="1">
        <f t="shared" si="1"/>
        <v>860</v>
      </c>
      <c r="H25" s="1">
        <f t="shared" si="2"/>
        <v>1280</v>
      </c>
      <c r="I25" s="1">
        <f t="shared" si="3"/>
        <v>1700</v>
      </c>
      <c r="J25" s="1">
        <f t="shared" si="4"/>
        <v>2120</v>
      </c>
      <c r="K25" s="1">
        <f t="shared" si="5"/>
        <v>2540</v>
      </c>
    </row>
    <row r="26" spans="2:11" x14ac:dyDescent="0.3">
      <c r="E26" s="1">
        <f t="shared" si="6"/>
        <v>20</v>
      </c>
      <c r="F26" s="1">
        <f t="shared" si="0"/>
        <v>440</v>
      </c>
      <c r="G26" s="1">
        <f t="shared" si="1"/>
        <v>860</v>
      </c>
      <c r="H26" s="1">
        <f t="shared" si="2"/>
        <v>1280</v>
      </c>
      <c r="I26" s="1">
        <f t="shared" si="3"/>
        <v>1700</v>
      </c>
      <c r="J26" s="1">
        <f t="shared" si="4"/>
        <v>2120</v>
      </c>
      <c r="K26" s="1">
        <f t="shared" si="5"/>
        <v>2540</v>
      </c>
    </row>
    <row r="27" spans="2:11" x14ac:dyDescent="0.3">
      <c r="E27" s="1">
        <f t="shared" si="6"/>
        <v>20</v>
      </c>
      <c r="F27" s="1">
        <f t="shared" si="0"/>
        <v>440</v>
      </c>
      <c r="G27" s="1">
        <f t="shared" si="1"/>
        <v>860</v>
      </c>
      <c r="H27" s="1">
        <f t="shared" si="2"/>
        <v>1280</v>
      </c>
      <c r="I27" s="1">
        <f t="shared" si="3"/>
        <v>1700</v>
      </c>
      <c r="J27" s="1">
        <f t="shared" si="4"/>
        <v>2120</v>
      </c>
      <c r="K27" s="1">
        <f t="shared" si="5"/>
        <v>2540</v>
      </c>
    </row>
    <row r="28" spans="2:11" x14ac:dyDescent="0.3">
      <c r="E28" s="1">
        <f t="shared" si="6"/>
        <v>20</v>
      </c>
      <c r="F28" s="1">
        <f t="shared" si="0"/>
        <v>440</v>
      </c>
      <c r="G28" s="1">
        <f t="shared" si="1"/>
        <v>860</v>
      </c>
      <c r="H28" s="1">
        <f t="shared" si="2"/>
        <v>1280</v>
      </c>
      <c r="I28" s="1">
        <f t="shared" si="3"/>
        <v>1700</v>
      </c>
      <c r="J28" s="1">
        <f t="shared" si="4"/>
        <v>2120</v>
      </c>
      <c r="K28" s="1">
        <f t="shared" si="5"/>
        <v>2540</v>
      </c>
    </row>
    <row r="31" spans="2:11" x14ac:dyDescent="0.3">
      <c r="B31" s="2">
        <v>20</v>
      </c>
      <c r="E31" s="1">
        <f t="shared" ref="E31:K31" si="7">$B$31+($B$32*11)</f>
        <v>416</v>
      </c>
      <c r="F31" s="1">
        <f t="shared" si="7"/>
        <v>416</v>
      </c>
      <c r="G31" s="1">
        <f t="shared" si="7"/>
        <v>416</v>
      </c>
      <c r="H31" s="1">
        <f t="shared" si="7"/>
        <v>416</v>
      </c>
      <c r="I31" s="1">
        <f t="shared" si="7"/>
        <v>416</v>
      </c>
      <c r="J31" s="1">
        <f t="shared" si="7"/>
        <v>416</v>
      </c>
      <c r="K31" s="1">
        <f t="shared" si="7"/>
        <v>416</v>
      </c>
    </row>
    <row r="32" spans="2:11" x14ac:dyDescent="0.3">
      <c r="B32" s="2">
        <v>36</v>
      </c>
      <c r="E32" s="1">
        <f t="shared" ref="E32:K32" si="8">$B$31+($B$32*10)</f>
        <v>380</v>
      </c>
      <c r="F32" s="1">
        <f t="shared" si="8"/>
        <v>380</v>
      </c>
      <c r="G32" s="1">
        <f t="shared" si="8"/>
        <v>380</v>
      </c>
      <c r="H32" s="1">
        <f t="shared" si="8"/>
        <v>380</v>
      </c>
      <c r="I32" s="1">
        <f t="shared" si="8"/>
        <v>380</v>
      </c>
      <c r="J32" s="1">
        <f t="shared" si="8"/>
        <v>380</v>
      </c>
      <c r="K32" s="1">
        <f t="shared" si="8"/>
        <v>380</v>
      </c>
    </row>
    <row r="33" spans="5:11" x14ac:dyDescent="0.3">
      <c r="E33" s="1">
        <f t="shared" ref="E33:K33" si="9">$B$31+($B$32*9)</f>
        <v>344</v>
      </c>
      <c r="F33" s="1">
        <f t="shared" si="9"/>
        <v>344</v>
      </c>
      <c r="G33" s="1">
        <f t="shared" si="9"/>
        <v>344</v>
      </c>
      <c r="H33" s="1">
        <f t="shared" si="9"/>
        <v>344</v>
      </c>
      <c r="I33" s="1">
        <f t="shared" si="9"/>
        <v>344</v>
      </c>
      <c r="J33" s="1">
        <f t="shared" si="9"/>
        <v>344</v>
      </c>
      <c r="K33" s="1">
        <f t="shared" si="9"/>
        <v>344</v>
      </c>
    </row>
    <row r="34" spans="5:11" x14ac:dyDescent="0.3">
      <c r="E34" s="1">
        <f t="shared" ref="E34:K34" si="10">$B$31+($B$32*8)</f>
        <v>308</v>
      </c>
      <c r="F34" s="1">
        <f t="shared" si="10"/>
        <v>308</v>
      </c>
      <c r="G34" s="1">
        <f t="shared" si="10"/>
        <v>308</v>
      </c>
      <c r="H34" s="1">
        <f t="shared" si="10"/>
        <v>308</v>
      </c>
      <c r="I34" s="1">
        <f t="shared" si="10"/>
        <v>308</v>
      </c>
      <c r="J34" s="1">
        <f t="shared" si="10"/>
        <v>308</v>
      </c>
      <c r="K34" s="1">
        <f t="shared" si="10"/>
        <v>308</v>
      </c>
    </row>
    <row r="35" spans="5:11" x14ac:dyDescent="0.3">
      <c r="E35" s="1">
        <f t="shared" ref="E35:K35" si="11">$B$31+($B$32*7)</f>
        <v>272</v>
      </c>
      <c r="F35" s="1">
        <f t="shared" si="11"/>
        <v>272</v>
      </c>
      <c r="G35" s="1">
        <f t="shared" si="11"/>
        <v>272</v>
      </c>
      <c r="H35" s="1">
        <f t="shared" si="11"/>
        <v>272</v>
      </c>
      <c r="I35" s="1">
        <f t="shared" si="11"/>
        <v>272</v>
      </c>
      <c r="J35" s="1">
        <f t="shared" si="11"/>
        <v>272</v>
      </c>
      <c r="K35" s="1">
        <f t="shared" si="11"/>
        <v>272</v>
      </c>
    </row>
    <row r="36" spans="5:11" x14ac:dyDescent="0.3">
      <c r="E36" s="1">
        <f t="shared" ref="E36:K36" si="12">$B$31+($B$32*6)</f>
        <v>236</v>
      </c>
      <c r="F36" s="1">
        <f t="shared" si="12"/>
        <v>236</v>
      </c>
      <c r="G36" s="1">
        <f t="shared" si="12"/>
        <v>236</v>
      </c>
      <c r="H36" s="1">
        <f t="shared" si="12"/>
        <v>236</v>
      </c>
      <c r="I36" s="1">
        <f t="shared" si="12"/>
        <v>236</v>
      </c>
      <c r="J36" s="1">
        <f t="shared" si="12"/>
        <v>236</v>
      </c>
      <c r="K36" s="1">
        <f t="shared" si="12"/>
        <v>236</v>
      </c>
    </row>
    <row r="37" spans="5:11" x14ac:dyDescent="0.3">
      <c r="E37" s="1">
        <f t="shared" ref="E37:K37" si="13">$B$31+($B$32*5)</f>
        <v>200</v>
      </c>
      <c r="F37" s="1">
        <f t="shared" si="13"/>
        <v>200</v>
      </c>
      <c r="G37" s="1">
        <f t="shared" si="13"/>
        <v>200</v>
      </c>
      <c r="H37" s="1">
        <f t="shared" si="13"/>
        <v>200</v>
      </c>
      <c r="I37" s="1">
        <f t="shared" si="13"/>
        <v>200</v>
      </c>
      <c r="J37" s="1">
        <f t="shared" si="13"/>
        <v>200</v>
      </c>
      <c r="K37" s="1">
        <f t="shared" si="13"/>
        <v>200</v>
      </c>
    </row>
    <row r="38" spans="5:11" x14ac:dyDescent="0.3">
      <c r="E38" s="1">
        <f t="shared" ref="E38:K38" si="14">$B$31+($B$32*4)</f>
        <v>164</v>
      </c>
      <c r="F38" s="1">
        <f t="shared" si="14"/>
        <v>164</v>
      </c>
      <c r="G38" s="1">
        <f t="shared" si="14"/>
        <v>164</v>
      </c>
      <c r="H38" s="1">
        <f t="shared" si="14"/>
        <v>164</v>
      </c>
      <c r="I38" s="1">
        <f t="shared" si="14"/>
        <v>164</v>
      </c>
      <c r="J38" s="1">
        <f t="shared" si="14"/>
        <v>164</v>
      </c>
      <c r="K38" s="1">
        <f t="shared" si="14"/>
        <v>164</v>
      </c>
    </row>
    <row r="39" spans="5:11" x14ac:dyDescent="0.3">
      <c r="E39" s="1">
        <f t="shared" ref="E39:K39" si="15">$B$31+($B$32*3)</f>
        <v>128</v>
      </c>
      <c r="F39" s="1">
        <f t="shared" si="15"/>
        <v>128</v>
      </c>
      <c r="G39" s="1">
        <f t="shared" si="15"/>
        <v>128</v>
      </c>
      <c r="H39" s="1">
        <f t="shared" si="15"/>
        <v>128</v>
      </c>
      <c r="I39" s="1">
        <f t="shared" si="15"/>
        <v>128</v>
      </c>
      <c r="J39" s="1">
        <f t="shared" si="15"/>
        <v>128</v>
      </c>
      <c r="K39" s="1">
        <f t="shared" si="15"/>
        <v>128</v>
      </c>
    </row>
    <row r="40" spans="5:11" x14ac:dyDescent="0.3">
      <c r="E40" s="1">
        <f t="shared" ref="E40:K40" si="16">$B$31+($B$32*2)</f>
        <v>92</v>
      </c>
      <c r="F40" s="1">
        <f t="shared" si="16"/>
        <v>92</v>
      </c>
      <c r="G40" s="1">
        <f t="shared" si="16"/>
        <v>92</v>
      </c>
      <c r="H40" s="1">
        <f t="shared" si="16"/>
        <v>92</v>
      </c>
      <c r="I40" s="1">
        <f t="shared" si="16"/>
        <v>92</v>
      </c>
      <c r="J40" s="1">
        <f t="shared" si="16"/>
        <v>92</v>
      </c>
      <c r="K40" s="1">
        <f t="shared" si="16"/>
        <v>92</v>
      </c>
    </row>
    <row r="41" spans="5:11" x14ac:dyDescent="0.3">
      <c r="E41" s="1">
        <f t="shared" ref="E41:K41" si="17">$B$31+($B$32*1)</f>
        <v>56</v>
      </c>
      <c r="F41" s="1">
        <f t="shared" si="17"/>
        <v>56</v>
      </c>
      <c r="G41" s="1">
        <f t="shared" si="17"/>
        <v>56</v>
      </c>
      <c r="H41" s="1">
        <f t="shared" si="17"/>
        <v>56</v>
      </c>
      <c r="I41" s="1">
        <f t="shared" si="17"/>
        <v>56</v>
      </c>
      <c r="J41" s="1">
        <f t="shared" si="17"/>
        <v>56</v>
      </c>
      <c r="K41" s="1">
        <f t="shared" si="17"/>
        <v>56</v>
      </c>
    </row>
    <row r="42" spans="5:11" x14ac:dyDescent="0.3">
      <c r="E42" s="1">
        <f t="shared" ref="E42:K42" si="18">$B$31+($B$32*0)</f>
        <v>20</v>
      </c>
      <c r="F42" s="1">
        <f t="shared" si="18"/>
        <v>20</v>
      </c>
      <c r="G42" s="1">
        <f t="shared" si="18"/>
        <v>20</v>
      </c>
      <c r="H42" s="1">
        <f t="shared" si="18"/>
        <v>20</v>
      </c>
      <c r="I42" s="1">
        <f t="shared" si="18"/>
        <v>20</v>
      </c>
      <c r="J42" s="1">
        <f t="shared" si="18"/>
        <v>20</v>
      </c>
      <c r="K42" s="1">
        <f t="shared" si="18"/>
        <v>20</v>
      </c>
    </row>
    <row r="46" spans="5:11" s="3" customFormat="1" ht="31.5" customHeight="1" x14ac:dyDescent="0.3">
      <c r="E46" s="36" t="str">
        <f t="shared" ref="E46:K46" si="19">_xlfn.CONCAT(E4," ",E17," X ", ,E31)</f>
        <v>M700 R11 C0 20 X 416</v>
      </c>
      <c r="F46" s="36" t="str">
        <f t="shared" si="19"/>
        <v>M700 R11 C1 440 X 416</v>
      </c>
      <c r="G46" s="36" t="str">
        <f t="shared" si="19"/>
        <v>M700 R11 C2 860 X 416</v>
      </c>
      <c r="H46" s="36" t="str">
        <f t="shared" si="19"/>
        <v>M700 R11 C3 1280 X 416</v>
      </c>
      <c r="I46" s="36" t="str">
        <f t="shared" si="19"/>
        <v>M700 R11 C4 1700 X 416</v>
      </c>
      <c r="J46" s="36" t="str">
        <f t="shared" si="19"/>
        <v>M700 R11 C5 2120 X 416</v>
      </c>
      <c r="K46" s="36" t="str">
        <f t="shared" si="19"/>
        <v>M700 R11 C6 2540 X 416</v>
      </c>
    </row>
    <row r="47" spans="5:11" s="3" customFormat="1" ht="31.5" customHeight="1" x14ac:dyDescent="0.3">
      <c r="E47" s="36" t="str">
        <f t="shared" ref="E47:K47" si="20">_xlfn.CONCAT(E5," ",E18," X ", ,E32)</f>
        <v>M700 R10 C0 20 X 380</v>
      </c>
      <c r="F47" s="36" t="str">
        <f t="shared" si="20"/>
        <v>M700 R10 C1 440 X 380</v>
      </c>
      <c r="G47" s="36" t="str">
        <f t="shared" si="20"/>
        <v>M700 R10 C2 860 X 380</v>
      </c>
      <c r="H47" s="36" t="str">
        <f t="shared" si="20"/>
        <v>M700 R10 C3 1280 X 380</v>
      </c>
      <c r="I47" s="36" t="str">
        <f t="shared" si="20"/>
        <v>M700 R10 C4 1700 X 380</v>
      </c>
      <c r="J47" s="36" t="str">
        <f t="shared" si="20"/>
        <v>M700 R10 C5 2120 X 380</v>
      </c>
      <c r="K47" s="36" t="str">
        <f t="shared" si="20"/>
        <v>M700 R10 C6 2540 X 380</v>
      </c>
    </row>
    <row r="48" spans="5:11" s="3" customFormat="1" ht="31.5" customHeight="1" x14ac:dyDescent="0.3">
      <c r="E48" s="36" t="str">
        <f t="shared" ref="E48:K48" si="21">_xlfn.CONCAT(E6," ",E19," X ", ,E33)</f>
        <v>M700 R9 C0 20 X 344</v>
      </c>
      <c r="F48" s="36" t="str">
        <f t="shared" si="21"/>
        <v>M700 R9 C1 440 X 344</v>
      </c>
      <c r="G48" s="36" t="str">
        <f t="shared" si="21"/>
        <v>M700 R9 C2 860 X 344</v>
      </c>
      <c r="H48" s="36" t="str">
        <f t="shared" si="21"/>
        <v>M700 R9 C3 1280 X 344</v>
      </c>
      <c r="I48" s="36" t="str">
        <f t="shared" si="21"/>
        <v>M700 R9 C4 1700 X 344</v>
      </c>
      <c r="J48" s="36" t="str">
        <f t="shared" si="21"/>
        <v>M700 R9 C5 2120 X 344</v>
      </c>
      <c r="K48" s="36" t="str">
        <f t="shared" si="21"/>
        <v>M700 R9 C6 2540 X 344</v>
      </c>
    </row>
    <row r="49" spans="3:11" s="3" customFormat="1" ht="31.5" customHeight="1" x14ac:dyDescent="0.3">
      <c r="E49" s="36" t="str">
        <f t="shared" ref="E49:K49" si="22">_xlfn.CONCAT(E7," ",E20," X ", ,E34)</f>
        <v>M700 R8 C0 20 X 308</v>
      </c>
      <c r="F49" s="36" t="str">
        <f t="shared" si="22"/>
        <v>M700 R8 C1 440 X 308</v>
      </c>
      <c r="G49" s="36" t="str">
        <f t="shared" si="22"/>
        <v>M700 R8 C2 860 X 308</v>
      </c>
      <c r="H49" s="36" t="str">
        <f t="shared" si="22"/>
        <v>M700 R8 C3 1280 X 308</v>
      </c>
      <c r="I49" s="36" t="str">
        <f t="shared" si="22"/>
        <v>M700 R8 C4 1700 X 308</v>
      </c>
      <c r="J49" s="36" t="str">
        <f t="shared" si="22"/>
        <v>M700 R8 C5 2120 X 308</v>
      </c>
      <c r="K49" s="36" t="str">
        <f t="shared" si="22"/>
        <v>M700 R8 C6 2540 X 308</v>
      </c>
    </row>
    <row r="50" spans="3:11" s="3" customFormat="1" ht="31.5" customHeight="1" x14ac:dyDescent="0.3">
      <c r="E50" s="36" t="str">
        <f t="shared" ref="E50:K50" si="23">_xlfn.CONCAT(E8," ",E21," X ", ,E35)</f>
        <v>M700 R7 C0 20 X 272</v>
      </c>
      <c r="F50" s="36" t="str">
        <f t="shared" si="23"/>
        <v>M700 R7 C1 440 X 272</v>
      </c>
      <c r="G50" s="36" t="str">
        <f t="shared" si="23"/>
        <v>M700 R7 C2 860 X 272</v>
      </c>
      <c r="H50" s="36" t="str">
        <f t="shared" si="23"/>
        <v>M700 R7 C3 1280 X 272</v>
      </c>
      <c r="I50" s="36" t="str">
        <f t="shared" si="23"/>
        <v>M700 R7 C4 1700 X 272</v>
      </c>
      <c r="J50" s="36" t="str">
        <f t="shared" si="23"/>
        <v>M700 R7 C5 2120 X 272</v>
      </c>
      <c r="K50" s="36" t="str">
        <f t="shared" si="23"/>
        <v>M700 R7 C6 2540 X 272</v>
      </c>
    </row>
    <row r="51" spans="3:11" s="3" customFormat="1" ht="31.5" customHeight="1" x14ac:dyDescent="0.3">
      <c r="E51" s="36" t="str">
        <f t="shared" ref="E51:K51" si="24">_xlfn.CONCAT(E9," ",E22," X ", ,E36)</f>
        <v>M700 R6 C0 20 X 236</v>
      </c>
      <c r="F51" s="36" t="str">
        <f t="shared" si="24"/>
        <v>M700 R6 C1 440 X 236</v>
      </c>
      <c r="G51" s="36" t="str">
        <f t="shared" si="24"/>
        <v>M700 R6 C2 860 X 236</v>
      </c>
      <c r="H51" s="36" t="str">
        <f t="shared" si="24"/>
        <v>M700 R6 C3 1280 X 236</v>
      </c>
      <c r="I51" s="36" t="str">
        <f t="shared" si="24"/>
        <v>M700 R6 C4 1700 X 236</v>
      </c>
      <c r="J51" s="36" t="str">
        <f t="shared" si="24"/>
        <v>M700 R6 C5 2120 X 236</v>
      </c>
      <c r="K51" s="36" t="str">
        <f t="shared" si="24"/>
        <v>M700 R6 C6 2540 X 236</v>
      </c>
    </row>
    <row r="52" spans="3:11" s="3" customFormat="1" ht="31.5" customHeight="1" x14ac:dyDescent="0.3">
      <c r="E52" s="36" t="str">
        <f t="shared" ref="E52:K52" si="25">_xlfn.CONCAT(E10," ",E23," X ", ,E37)</f>
        <v>M700 R5 C0 20 X 200</v>
      </c>
      <c r="F52" s="36" t="str">
        <f t="shared" si="25"/>
        <v>M700 R5 C1 440 X 200</v>
      </c>
      <c r="G52" s="36" t="str">
        <f t="shared" si="25"/>
        <v>M700 R5 C2 860 X 200</v>
      </c>
      <c r="H52" s="36" t="str">
        <f t="shared" si="25"/>
        <v>M700 R5 C3 1280 X 200</v>
      </c>
      <c r="I52" s="36" t="str">
        <f t="shared" si="25"/>
        <v>M700 R5 C4 1700 X 200</v>
      </c>
      <c r="J52" s="36" t="str">
        <f t="shared" si="25"/>
        <v>M700 R5 C5 2120 X 200</v>
      </c>
      <c r="K52" s="36" t="str">
        <f t="shared" si="25"/>
        <v>M700 R5 C6 2540 X 200</v>
      </c>
    </row>
    <row r="53" spans="3:11" s="3" customFormat="1" ht="31.5" customHeight="1" x14ac:dyDescent="0.3">
      <c r="E53" s="36" t="str">
        <f t="shared" ref="E53:K53" si="26">_xlfn.CONCAT(E11," ",E24," X ", ,E38)</f>
        <v>M700 R4 C0 20 X 164</v>
      </c>
      <c r="F53" s="36" t="str">
        <f t="shared" si="26"/>
        <v>M700 R4 C1 440 X 164</v>
      </c>
      <c r="G53" s="36" t="str">
        <f t="shared" si="26"/>
        <v>M700 R4 C2 860 X 164</v>
      </c>
      <c r="H53" s="36" t="str">
        <f t="shared" si="26"/>
        <v>M700 R4 C3 1280 X 164</v>
      </c>
      <c r="I53" s="36" t="str">
        <f t="shared" si="26"/>
        <v>M700 R4 C4 1700 X 164</v>
      </c>
      <c r="J53" s="36" t="str">
        <f t="shared" si="26"/>
        <v>M700 R4 C5 2120 X 164</v>
      </c>
      <c r="K53" s="36" t="str">
        <f t="shared" si="26"/>
        <v>M700 R4 C6 2540 X 164</v>
      </c>
    </row>
    <row r="54" spans="3:11" s="3" customFormat="1" ht="31.5" customHeight="1" x14ac:dyDescent="0.3">
      <c r="E54" s="36" t="str">
        <f t="shared" ref="E54:K54" si="27">_xlfn.CONCAT(E12," ",E25," X ", ,E39)</f>
        <v>M700 R3 C0 20 X 128</v>
      </c>
      <c r="F54" s="36" t="str">
        <f t="shared" si="27"/>
        <v>M700 R3 C1 440 X 128</v>
      </c>
      <c r="G54" s="36" t="str">
        <f t="shared" si="27"/>
        <v>M700 R3 C2 860 X 128</v>
      </c>
      <c r="H54" s="36" t="str">
        <f t="shared" si="27"/>
        <v>M700 R3 C3 1280 X 128</v>
      </c>
      <c r="I54" s="36" t="str">
        <f t="shared" si="27"/>
        <v>M700 R3 C4 1700 X 128</v>
      </c>
      <c r="J54" s="36" t="str">
        <f t="shared" si="27"/>
        <v>M700 R3 C5 2120 X 128</v>
      </c>
      <c r="K54" s="36" t="str">
        <f t="shared" si="27"/>
        <v>M700 R3 C6 2540 X 128</v>
      </c>
    </row>
    <row r="55" spans="3:11" s="3" customFormat="1" ht="31.5" customHeight="1" x14ac:dyDescent="0.3">
      <c r="E55" s="36" t="str">
        <f t="shared" ref="E55:K55" si="28">_xlfn.CONCAT(E13," ",E26," X ", ,E40)</f>
        <v>M700 R2 C0 20 X 92</v>
      </c>
      <c r="F55" s="36" t="str">
        <f t="shared" si="28"/>
        <v>M700 R2 C1 440 X 92</v>
      </c>
      <c r="G55" s="36" t="str">
        <f t="shared" si="28"/>
        <v>M700 R2 C2 860 X 92</v>
      </c>
      <c r="H55" s="36" t="str">
        <f t="shared" si="28"/>
        <v>M700 R2 C3 1280 X 92</v>
      </c>
      <c r="I55" s="36" t="str">
        <f t="shared" si="28"/>
        <v>M700 R2 C4 1700 X 92</v>
      </c>
      <c r="J55" s="36" t="str">
        <f t="shared" si="28"/>
        <v>M700 R2 C5 2120 X 92</v>
      </c>
      <c r="K55" s="36" t="str">
        <f t="shared" si="28"/>
        <v>M700 R2 C6 2540 X 92</v>
      </c>
    </row>
    <row r="56" spans="3:11" s="3" customFormat="1" ht="31.5" customHeight="1" x14ac:dyDescent="0.3">
      <c r="E56" s="36" t="str">
        <f t="shared" ref="E56:K56" si="29">_xlfn.CONCAT(E14," ",E27," X ", ,E41)</f>
        <v>M700 R1 C0 20 X 56</v>
      </c>
      <c r="F56" s="36" t="str">
        <f t="shared" si="29"/>
        <v>M700 R1 C1 440 X 56</v>
      </c>
      <c r="G56" s="36" t="str">
        <f t="shared" si="29"/>
        <v>M700 R1 C2 860 X 56</v>
      </c>
      <c r="H56" s="36" t="str">
        <f t="shared" si="29"/>
        <v>M700 R1 C3 1280 X 56</v>
      </c>
      <c r="I56" s="36" t="str">
        <f t="shared" si="29"/>
        <v>M700 R1 C4 1700 X 56</v>
      </c>
      <c r="J56" s="36" t="str">
        <f t="shared" si="29"/>
        <v>M700 R1 C5 2120 X 56</v>
      </c>
      <c r="K56" s="36" t="str">
        <f t="shared" si="29"/>
        <v>M700 R1 C6 2540 X 56</v>
      </c>
    </row>
    <row r="57" spans="3:11" s="3" customFormat="1" ht="31.5" customHeight="1" x14ac:dyDescent="0.3">
      <c r="E57" s="36" t="str">
        <f t="shared" ref="E57:K57" si="30">_xlfn.CONCAT(E15," ",E28," X ", ,E42)</f>
        <v>M700 R0 C0 20 X 20</v>
      </c>
      <c r="F57" s="36" t="str">
        <f t="shared" si="30"/>
        <v>M700 R0 C1 440 X 20</v>
      </c>
      <c r="G57" s="36" t="str">
        <f t="shared" si="30"/>
        <v>M700 R0 C2 860 X 20</v>
      </c>
      <c r="H57" s="36" t="str">
        <f t="shared" si="30"/>
        <v>M700 R0 C3 1280 X 20</v>
      </c>
      <c r="I57" s="36" t="str">
        <f t="shared" si="30"/>
        <v>M700 R0 C4 1700 X 20</v>
      </c>
      <c r="J57" s="36" t="str">
        <f t="shared" si="30"/>
        <v>M700 R0 C5 2120 X 20</v>
      </c>
      <c r="K57" s="36" t="str">
        <f t="shared" si="30"/>
        <v>M700 R0 C6 2540 X 20</v>
      </c>
    </row>
    <row r="60" spans="3:11" s="28" customFormat="1" ht="28.8" x14ac:dyDescent="0.3">
      <c r="C60" s="28" t="s">
        <v>206</v>
      </c>
      <c r="E60" s="57" t="s">
        <v>197</v>
      </c>
      <c r="F60" s="57" t="s">
        <v>198</v>
      </c>
      <c r="G60" s="57" t="s">
        <v>199</v>
      </c>
      <c r="H60" s="57" t="s">
        <v>200</v>
      </c>
      <c r="I60" s="57" t="s">
        <v>201</v>
      </c>
      <c r="J60" s="57" t="s">
        <v>202</v>
      </c>
      <c r="K60" s="57" t="s">
        <v>203</v>
      </c>
    </row>
    <row r="61" spans="3:11" s="28" customFormat="1" ht="28.8" x14ac:dyDescent="0.3">
      <c r="C61" s="28" t="s">
        <v>207</v>
      </c>
      <c r="E61" s="57" t="s">
        <v>190</v>
      </c>
      <c r="F61" s="57" t="s">
        <v>191</v>
      </c>
      <c r="G61" s="57" t="s">
        <v>192</v>
      </c>
      <c r="H61" s="57" t="s">
        <v>193</v>
      </c>
      <c r="I61" s="57" t="s">
        <v>194</v>
      </c>
      <c r="J61" s="57" t="s">
        <v>195</v>
      </c>
      <c r="K61" s="57" t="s">
        <v>196</v>
      </c>
    </row>
    <row r="62" spans="3:11" s="28" customFormat="1" ht="28.8" x14ac:dyDescent="0.3">
      <c r="C62" s="28" t="s">
        <v>208</v>
      </c>
      <c r="D62" s="28" t="s">
        <v>209</v>
      </c>
      <c r="E62" s="57" t="s">
        <v>183</v>
      </c>
      <c r="F62" s="57" t="s">
        <v>184</v>
      </c>
      <c r="G62" s="57" t="s">
        <v>185</v>
      </c>
      <c r="H62" s="57" t="s">
        <v>186</v>
      </c>
      <c r="I62" s="57" t="s">
        <v>187</v>
      </c>
      <c r="J62" s="57" t="s">
        <v>188</v>
      </c>
      <c r="K62" s="57" t="s">
        <v>189</v>
      </c>
    </row>
    <row r="63" spans="3:11" s="28" customFormat="1" ht="28.8" x14ac:dyDescent="0.3">
      <c r="D63" s="28" t="s">
        <v>210</v>
      </c>
      <c r="E63" s="57" t="s">
        <v>176</v>
      </c>
      <c r="F63" s="57" t="s">
        <v>177</v>
      </c>
      <c r="G63" s="57" t="s">
        <v>178</v>
      </c>
      <c r="H63" s="57" t="s">
        <v>179</v>
      </c>
      <c r="I63" s="57" t="s">
        <v>180</v>
      </c>
      <c r="J63" s="57" t="s">
        <v>181</v>
      </c>
      <c r="K63" s="57" t="s">
        <v>182</v>
      </c>
    </row>
    <row r="64" spans="3:11" s="28" customFormat="1" ht="28.8" x14ac:dyDescent="0.3">
      <c r="C64" s="28" t="s">
        <v>211</v>
      </c>
      <c r="E64" s="57" t="s">
        <v>169</v>
      </c>
      <c r="F64" s="57" t="s">
        <v>170</v>
      </c>
      <c r="G64" s="57" t="s">
        <v>171</v>
      </c>
      <c r="H64" s="57" t="s">
        <v>172</v>
      </c>
      <c r="I64" s="57" t="s">
        <v>173</v>
      </c>
      <c r="J64" s="57" t="s">
        <v>174</v>
      </c>
      <c r="K64" s="57" t="s">
        <v>175</v>
      </c>
    </row>
    <row r="65" spans="3:11" s="28" customFormat="1" ht="28.8" x14ac:dyDescent="0.3">
      <c r="C65" s="28" t="s">
        <v>212</v>
      </c>
      <c r="E65" s="57" t="s">
        <v>162</v>
      </c>
      <c r="F65" s="57" t="s">
        <v>163</v>
      </c>
      <c r="G65" s="57" t="s">
        <v>164</v>
      </c>
      <c r="H65" s="57" t="s">
        <v>165</v>
      </c>
      <c r="I65" s="57" t="s">
        <v>166</v>
      </c>
      <c r="J65" s="57" t="s">
        <v>167</v>
      </c>
      <c r="K65" s="57" t="s">
        <v>168</v>
      </c>
    </row>
    <row r="66" spans="3:11" s="28" customFormat="1" ht="28.8" x14ac:dyDescent="0.3">
      <c r="E66" s="57" t="s">
        <v>155</v>
      </c>
      <c r="F66" s="57" t="s">
        <v>156</v>
      </c>
      <c r="G66" s="57" t="s">
        <v>157</v>
      </c>
      <c r="H66" s="57" t="s">
        <v>158</v>
      </c>
      <c r="I66" s="57" t="s">
        <v>159</v>
      </c>
      <c r="J66" s="57" t="s">
        <v>160</v>
      </c>
      <c r="K66" s="57" t="s">
        <v>161</v>
      </c>
    </row>
    <row r="67" spans="3:11" s="28" customFormat="1" ht="28.8" x14ac:dyDescent="0.3">
      <c r="E67" s="57" t="s">
        <v>148</v>
      </c>
      <c r="F67" s="57" t="s">
        <v>149</v>
      </c>
      <c r="G67" s="57" t="s">
        <v>150</v>
      </c>
      <c r="H67" s="57" t="s">
        <v>151</v>
      </c>
      <c r="I67" s="57" t="s">
        <v>152</v>
      </c>
      <c r="J67" s="57" t="s">
        <v>153</v>
      </c>
      <c r="K67" s="57" t="s">
        <v>154</v>
      </c>
    </row>
    <row r="68" spans="3:11" s="28" customFormat="1" ht="28.8" x14ac:dyDescent="0.3">
      <c r="E68" s="57" t="s">
        <v>141</v>
      </c>
      <c r="F68" s="57" t="s">
        <v>142</v>
      </c>
      <c r="G68" s="57" t="s">
        <v>143</v>
      </c>
      <c r="H68" s="57" t="s">
        <v>144</v>
      </c>
      <c r="I68" s="57" t="s">
        <v>145</v>
      </c>
      <c r="J68" s="57" t="s">
        <v>146</v>
      </c>
      <c r="K68" s="57" t="s">
        <v>147</v>
      </c>
    </row>
    <row r="69" spans="3:11" s="28" customFormat="1" ht="28.8" x14ac:dyDescent="0.3">
      <c r="E69" s="57" t="s">
        <v>134</v>
      </c>
      <c r="F69" s="57" t="s">
        <v>135</v>
      </c>
      <c r="G69" s="57" t="s">
        <v>136</v>
      </c>
      <c r="H69" s="57" t="s">
        <v>137</v>
      </c>
      <c r="I69" s="57" t="s">
        <v>138</v>
      </c>
      <c r="J69" s="57" t="s">
        <v>139</v>
      </c>
      <c r="K69" s="57" t="s">
        <v>140</v>
      </c>
    </row>
    <row r="70" spans="3:11" s="28" customFormat="1" ht="28.8" x14ac:dyDescent="0.3">
      <c r="E70" s="57" t="s">
        <v>127</v>
      </c>
      <c r="F70" s="57" t="s">
        <v>128</v>
      </c>
      <c r="G70" s="57" t="s">
        <v>129</v>
      </c>
      <c r="H70" s="57" t="s">
        <v>130</v>
      </c>
      <c r="I70" s="57" t="s">
        <v>131</v>
      </c>
      <c r="J70" s="57" t="s">
        <v>132</v>
      </c>
      <c r="K70" s="57" t="s">
        <v>133</v>
      </c>
    </row>
    <row r="71" spans="3:11" s="28" customFormat="1" ht="28.8" x14ac:dyDescent="0.3">
      <c r="E71" s="57" t="s">
        <v>120</v>
      </c>
      <c r="F71" s="57" t="s">
        <v>121</v>
      </c>
      <c r="G71" s="57" t="s">
        <v>122</v>
      </c>
      <c r="H71" s="57" t="s">
        <v>123</v>
      </c>
      <c r="I71" s="57" t="s">
        <v>124</v>
      </c>
      <c r="J71" s="57" t="s">
        <v>125</v>
      </c>
      <c r="K71" s="57" t="s">
        <v>126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D4A7F-8427-4940-81B4-2F70384519C5}">
  <sheetPr codeName="Sheet6"/>
  <dimension ref="A1:H14"/>
  <sheetViews>
    <sheetView zoomScale="130" zoomScaleNormal="130" workbookViewId="0">
      <selection activeCell="K11" sqref="K11"/>
    </sheetView>
  </sheetViews>
  <sheetFormatPr defaultRowHeight="14.4" x14ac:dyDescent="0.3"/>
  <cols>
    <col min="2" max="2" width="10.6640625" customWidth="1"/>
    <col min="3" max="8" width="12" customWidth="1"/>
  </cols>
  <sheetData>
    <row r="1" spans="1:8" x14ac:dyDescent="0.3">
      <c r="A1" t="s">
        <v>206</v>
      </c>
    </row>
    <row r="3" spans="1:8" ht="27.6" x14ac:dyDescent="0.3">
      <c r="B3" s="29" t="s">
        <v>120</v>
      </c>
      <c r="C3" s="29" t="s">
        <v>121</v>
      </c>
      <c r="D3" s="29" t="s">
        <v>122</v>
      </c>
      <c r="E3" s="29" t="s">
        <v>123</v>
      </c>
      <c r="F3" s="29" t="s">
        <v>124</v>
      </c>
      <c r="G3" s="29" t="s">
        <v>125</v>
      </c>
      <c r="H3" s="29" t="s">
        <v>126</v>
      </c>
    </row>
    <row r="4" spans="1:8" ht="27.6" x14ac:dyDescent="0.3">
      <c r="B4" s="29" t="s">
        <v>127</v>
      </c>
      <c r="C4" s="29" t="s">
        <v>128</v>
      </c>
      <c r="D4" s="29" t="s">
        <v>129</v>
      </c>
      <c r="E4" s="29" t="s">
        <v>130</v>
      </c>
      <c r="F4" s="29" t="s">
        <v>131</v>
      </c>
      <c r="G4" s="29" t="s">
        <v>132</v>
      </c>
      <c r="H4" s="29" t="s">
        <v>133</v>
      </c>
    </row>
    <row r="5" spans="1:8" ht="27.6" x14ac:dyDescent="0.3">
      <c r="B5" s="29" t="s">
        <v>134</v>
      </c>
      <c r="C5" s="29" t="s">
        <v>135</v>
      </c>
      <c r="D5" s="29" t="s">
        <v>136</v>
      </c>
      <c r="E5" s="29" t="s">
        <v>137</v>
      </c>
      <c r="F5" s="29" t="s">
        <v>138</v>
      </c>
      <c r="G5" s="29" t="s">
        <v>139</v>
      </c>
      <c r="H5" s="29" t="s">
        <v>140</v>
      </c>
    </row>
    <row r="6" spans="1:8" ht="27.6" x14ac:dyDescent="0.3">
      <c r="B6" s="29" t="s">
        <v>141</v>
      </c>
      <c r="C6" s="29" t="s">
        <v>142</v>
      </c>
      <c r="D6" s="29" t="s">
        <v>143</v>
      </c>
      <c r="E6" s="29" t="s">
        <v>144</v>
      </c>
      <c r="F6" s="29" t="s">
        <v>145</v>
      </c>
      <c r="G6" s="29" t="s">
        <v>146</v>
      </c>
      <c r="H6" s="29" t="s">
        <v>147</v>
      </c>
    </row>
    <row r="7" spans="1:8" ht="27.6" x14ac:dyDescent="0.3">
      <c r="B7" s="29" t="s">
        <v>148</v>
      </c>
      <c r="C7" s="29" t="s">
        <v>149</v>
      </c>
      <c r="D7" s="29" t="s">
        <v>150</v>
      </c>
      <c r="E7" s="29" t="s">
        <v>151</v>
      </c>
      <c r="F7" s="29" t="s">
        <v>152</v>
      </c>
      <c r="G7" s="29" t="s">
        <v>153</v>
      </c>
      <c r="H7" s="29" t="s">
        <v>154</v>
      </c>
    </row>
    <row r="8" spans="1:8" ht="27.6" x14ac:dyDescent="0.3">
      <c r="B8" s="29" t="s">
        <v>155</v>
      </c>
      <c r="C8" s="29" t="s">
        <v>156</v>
      </c>
      <c r="D8" s="29" t="s">
        <v>157</v>
      </c>
      <c r="E8" s="29" t="s">
        <v>158</v>
      </c>
      <c r="F8" s="29" t="s">
        <v>159</v>
      </c>
      <c r="G8" s="29" t="s">
        <v>160</v>
      </c>
      <c r="H8" s="29" t="s">
        <v>161</v>
      </c>
    </row>
    <row r="9" spans="1:8" ht="27.6" x14ac:dyDescent="0.3">
      <c r="B9" s="29" t="s">
        <v>162</v>
      </c>
      <c r="C9" s="29" t="s">
        <v>163</v>
      </c>
      <c r="D9" s="29" t="s">
        <v>164</v>
      </c>
      <c r="E9" s="29" t="s">
        <v>165</v>
      </c>
      <c r="F9" s="29" t="s">
        <v>166</v>
      </c>
      <c r="G9" s="29" t="s">
        <v>167</v>
      </c>
      <c r="H9" s="29" t="s">
        <v>168</v>
      </c>
    </row>
    <row r="10" spans="1:8" ht="27.6" x14ac:dyDescent="0.3">
      <c r="B10" s="29" t="s">
        <v>169</v>
      </c>
      <c r="C10" s="29" t="s">
        <v>170</v>
      </c>
      <c r="D10" s="29" t="s">
        <v>171</v>
      </c>
      <c r="E10" s="29" t="s">
        <v>172</v>
      </c>
      <c r="F10" s="29" t="s">
        <v>173</v>
      </c>
      <c r="G10" s="29" t="s">
        <v>174</v>
      </c>
      <c r="H10" s="29" t="s">
        <v>175</v>
      </c>
    </row>
    <row r="11" spans="1:8" ht="27.6" x14ac:dyDescent="0.3">
      <c r="B11" s="29" t="s">
        <v>176</v>
      </c>
      <c r="C11" s="29" t="s">
        <v>177</v>
      </c>
      <c r="D11" s="29" t="s">
        <v>178</v>
      </c>
      <c r="E11" s="29" t="s">
        <v>179</v>
      </c>
      <c r="F11" s="29" t="s">
        <v>180</v>
      </c>
      <c r="G11" s="29" t="s">
        <v>181</v>
      </c>
      <c r="H11" s="29" t="s">
        <v>182</v>
      </c>
    </row>
    <row r="12" spans="1:8" ht="27.6" x14ac:dyDescent="0.3">
      <c r="B12" s="29" t="s">
        <v>183</v>
      </c>
      <c r="C12" s="29" t="s">
        <v>184</v>
      </c>
      <c r="D12" s="29" t="s">
        <v>185</v>
      </c>
      <c r="E12" s="29" t="s">
        <v>186</v>
      </c>
      <c r="F12" s="29" t="s">
        <v>187</v>
      </c>
      <c r="G12" s="29" t="s">
        <v>188</v>
      </c>
      <c r="H12" s="29" t="s">
        <v>189</v>
      </c>
    </row>
    <row r="13" spans="1:8" ht="27.6" x14ac:dyDescent="0.3">
      <c r="B13" s="29" t="s">
        <v>190</v>
      </c>
      <c r="C13" s="29" t="s">
        <v>191</v>
      </c>
      <c r="D13" s="29" t="s">
        <v>192</v>
      </c>
      <c r="E13" s="29" t="s">
        <v>193</v>
      </c>
      <c r="F13" s="29" t="s">
        <v>194</v>
      </c>
      <c r="G13" s="29" t="s">
        <v>195</v>
      </c>
      <c r="H13" s="29" t="s">
        <v>196</v>
      </c>
    </row>
    <row r="14" spans="1:8" ht="27.6" x14ac:dyDescent="0.3">
      <c r="B14" s="29" t="s">
        <v>197</v>
      </c>
      <c r="C14" s="29" t="s">
        <v>198</v>
      </c>
      <c r="D14" s="29" t="s">
        <v>199</v>
      </c>
      <c r="E14" s="29" t="s">
        <v>200</v>
      </c>
      <c r="F14" s="29" t="s">
        <v>201</v>
      </c>
      <c r="G14" s="29" t="s">
        <v>202</v>
      </c>
      <c r="H14" s="29" t="s">
        <v>203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5601E-5C65-4650-9A36-FFEF63A90CFC}">
  <sheetPr codeName="Sheet5"/>
  <dimension ref="A1:K22"/>
  <sheetViews>
    <sheetView workbookViewId="0">
      <selection sqref="A1:J1"/>
    </sheetView>
  </sheetViews>
  <sheetFormatPr defaultColWidth="9.109375" defaultRowHeight="14.4" x14ac:dyDescent="0.3"/>
  <cols>
    <col min="1" max="1" width="14.6640625" style="4" customWidth="1"/>
    <col min="2" max="11" width="10.6640625" style="4" customWidth="1"/>
    <col min="12" max="12" width="16.6640625" style="4" customWidth="1"/>
    <col min="13" max="16384" width="9.109375" style="4"/>
  </cols>
  <sheetData>
    <row r="1" spans="1:11" ht="29.4" x14ac:dyDescent="0.65">
      <c r="A1" s="41" t="s">
        <v>115</v>
      </c>
      <c r="B1" s="41"/>
      <c r="C1" s="41"/>
      <c r="D1" s="41"/>
      <c r="E1" s="41"/>
      <c r="F1" s="41"/>
      <c r="G1" s="41"/>
      <c r="H1" s="41"/>
      <c r="I1" s="41"/>
      <c r="J1" s="41"/>
    </row>
    <row r="2" spans="1:11" ht="16.8" x14ac:dyDescent="0.3">
      <c r="A2" s="42" t="s">
        <v>116</v>
      </c>
      <c r="B2" s="42"/>
      <c r="C2" s="42"/>
      <c r="D2" s="42"/>
      <c r="E2" s="42"/>
      <c r="F2" s="42"/>
      <c r="G2" s="42"/>
      <c r="H2" s="42"/>
      <c r="I2" s="42"/>
      <c r="J2" s="42"/>
    </row>
    <row r="3" spans="1:11" ht="33.6" customHeight="1" x14ac:dyDescent="0.45">
      <c r="A3" s="43" t="s">
        <v>117</v>
      </c>
      <c r="B3" s="43"/>
      <c r="C3" s="43"/>
      <c r="D3" s="43"/>
      <c r="E3" s="43"/>
      <c r="F3" s="43"/>
      <c r="G3" s="43"/>
      <c r="H3" s="43"/>
      <c r="I3" s="43"/>
      <c r="J3" s="43"/>
      <c r="K3" s="43"/>
    </row>
    <row r="4" spans="1:11" ht="15" x14ac:dyDescent="0.3">
      <c r="A4" s="19" t="s">
        <v>118</v>
      </c>
      <c r="B4" s="19" t="s">
        <v>95</v>
      </c>
      <c r="C4" s="19" t="s">
        <v>97</v>
      </c>
      <c r="D4" s="19" t="s">
        <v>98</v>
      </c>
      <c r="E4" s="19" t="s">
        <v>99</v>
      </c>
      <c r="F4" s="19" t="s">
        <v>100</v>
      </c>
      <c r="G4" s="19" t="s">
        <v>101</v>
      </c>
      <c r="H4" s="19" t="s">
        <v>102</v>
      </c>
      <c r="I4" s="19" t="s">
        <v>103</v>
      </c>
      <c r="J4" s="19" t="s">
        <v>104</v>
      </c>
      <c r="K4" s="19" t="s">
        <v>105</v>
      </c>
    </row>
    <row r="5" spans="1:11" ht="19.5" customHeight="1" x14ac:dyDescent="0.3">
      <c r="A5" s="21"/>
      <c r="B5" s="20"/>
      <c r="C5" s="20"/>
      <c r="D5" s="20"/>
      <c r="E5" s="20"/>
      <c r="F5" s="20"/>
      <c r="G5" s="20"/>
      <c r="H5" s="20"/>
      <c r="I5" s="20"/>
      <c r="J5" s="20"/>
      <c r="K5" s="20"/>
    </row>
    <row r="6" spans="1:11" ht="33.6" customHeight="1" x14ac:dyDescent="0.45">
      <c r="A6" s="44" t="s">
        <v>119</v>
      </c>
      <c r="B6" s="44"/>
      <c r="C6" s="44"/>
      <c r="D6" s="44"/>
      <c r="E6" s="44"/>
      <c r="F6" s="44"/>
      <c r="G6" s="44"/>
      <c r="H6" s="44"/>
      <c r="I6" s="44"/>
      <c r="J6" s="44"/>
      <c r="K6" s="44"/>
    </row>
    <row r="7" spans="1:11" ht="15" x14ac:dyDescent="0.3">
      <c r="A7" s="19" t="s">
        <v>118</v>
      </c>
      <c r="B7" s="19" t="s">
        <v>95</v>
      </c>
      <c r="C7" s="19" t="s">
        <v>97</v>
      </c>
      <c r="D7" s="19" t="s">
        <v>98</v>
      </c>
      <c r="E7" s="19" t="s">
        <v>99</v>
      </c>
      <c r="F7" s="19" t="s">
        <v>100</v>
      </c>
      <c r="G7" s="19" t="s">
        <v>101</v>
      </c>
      <c r="H7" s="19" t="s">
        <v>102</v>
      </c>
      <c r="I7" s="19" t="s">
        <v>103</v>
      </c>
      <c r="J7" s="19" t="s">
        <v>104</v>
      </c>
      <c r="K7" s="19" t="s">
        <v>105</v>
      </c>
    </row>
    <row r="8" spans="1:11" ht="19.5" customHeight="1" x14ac:dyDescent="0.3">
      <c r="A8" s="24"/>
      <c r="B8" s="22"/>
      <c r="C8" s="22"/>
      <c r="D8" s="22"/>
      <c r="E8" s="22"/>
      <c r="F8" s="22"/>
      <c r="G8" s="22"/>
      <c r="H8" s="22"/>
      <c r="I8" s="22"/>
      <c r="J8" s="22"/>
      <c r="K8" s="22"/>
    </row>
    <row r="9" spans="1:11" ht="19.5" customHeight="1" x14ac:dyDescent="0.3">
      <c r="A9" s="25"/>
      <c r="B9" s="23"/>
      <c r="C9" s="23"/>
      <c r="D9" s="23"/>
      <c r="E9" s="23"/>
      <c r="F9" s="23"/>
      <c r="G9" s="23"/>
      <c r="H9" s="23"/>
      <c r="I9" s="23"/>
      <c r="J9" s="23"/>
      <c r="K9" s="23"/>
    </row>
    <row r="10" spans="1:11" ht="19.5" customHeight="1" x14ac:dyDescent="0.3">
      <c r="A10" s="25"/>
      <c r="B10" s="23"/>
      <c r="C10" s="23"/>
      <c r="D10" s="23"/>
      <c r="E10" s="23"/>
      <c r="F10" s="23"/>
      <c r="G10" s="23"/>
      <c r="H10" s="23"/>
      <c r="I10" s="23"/>
      <c r="J10" s="23"/>
      <c r="K10" s="23"/>
    </row>
    <row r="11" spans="1:11" ht="19.5" customHeight="1" x14ac:dyDescent="0.3">
      <c r="A11" s="25"/>
      <c r="B11" s="23"/>
      <c r="C11" s="23"/>
      <c r="D11" s="23"/>
      <c r="E11" s="23"/>
      <c r="F11" s="23"/>
      <c r="G11" s="23"/>
      <c r="H11" s="23"/>
      <c r="I11" s="23"/>
      <c r="J11" s="23"/>
      <c r="K11" s="23"/>
    </row>
    <row r="12" spans="1:11" ht="19.5" customHeight="1" x14ac:dyDescent="0.3">
      <c r="A12" s="25"/>
      <c r="B12" s="23"/>
      <c r="C12" s="23"/>
      <c r="D12" s="23"/>
      <c r="E12" s="23"/>
      <c r="F12" s="23"/>
      <c r="G12" s="23"/>
      <c r="H12" s="23"/>
      <c r="I12" s="23"/>
      <c r="J12" s="23"/>
      <c r="K12" s="23"/>
    </row>
    <row r="13" spans="1:11" ht="19.5" customHeight="1" x14ac:dyDescent="0.3">
      <c r="A13" s="25"/>
      <c r="B13" s="23"/>
      <c r="C13" s="23"/>
      <c r="D13" s="23"/>
      <c r="E13" s="23"/>
      <c r="F13" s="23"/>
      <c r="G13" s="23"/>
      <c r="H13" s="23"/>
      <c r="I13" s="23"/>
      <c r="J13" s="23"/>
      <c r="K13" s="23"/>
    </row>
    <row r="14" spans="1:11" ht="19.5" customHeight="1" x14ac:dyDescent="0.3">
      <c r="A14" s="25"/>
      <c r="B14" s="23"/>
      <c r="C14" s="23"/>
      <c r="D14" s="23"/>
      <c r="E14" s="23"/>
      <c r="F14" s="23"/>
      <c r="G14" s="23"/>
      <c r="H14" s="23"/>
      <c r="I14" s="23"/>
      <c r="J14" s="23"/>
      <c r="K14" s="23"/>
    </row>
    <row r="15" spans="1:11" ht="19.5" customHeight="1" x14ac:dyDescent="0.3">
      <c r="A15" s="25"/>
      <c r="B15" s="23"/>
      <c r="C15" s="23"/>
      <c r="D15" s="23"/>
      <c r="E15" s="23"/>
      <c r="F15" s="23"/>
      <c r="G15" s="23"/>
      <c r="H15" s="23"/>
      <c r="I15" s="23"/>
      <c r="J15" s="23"/>
      <c r="K15" s="23"/>
    </row>
    <row r="16" spans="1:11" ht="19.5" customHeight="1" x14ac:dyDescent="0.3">
      <c r="A16" s="25"/>
      <c r="B16" s="23"/>
      <c r="C16" s="23"/>
      <c r="D16" s="23"/>
      <c r="E16" s="23"/>
      <c r="F16" s="23"/>
      <c r="G16" s="23"/>
      <c r="H16" s="23"/>
      <c r="I16" s="23"/>
      <c r="J16" s="23"/>
      <c r="K16" s="23"/>
    </row>
    <row r="17" spans="1:11" ht="19.5" customHeight="1" x14ac:dyDescent="0.3">
      <c r="A17" s="25"/>
      <c r="B17" s="23"/>
      <c r="C17" s="23"/>
      <c r="D17" s="23"/>
      <c r="E17" s="23"/>
      <c r="F17" s="23"/>
      <c r="G17" s="23"/>
      <c r="H17" s="23"/>
      <c r="I17" s="23"/>
      <c r="J17" s="23"/>
      <c r="K17" s="23"/>
    </row>
    <row r="18" spans="1:11" ht="19.5" customHeight="1" x14ac:dyDescent="0.3">
      <c r="A18" s="25"/>
      <c r="B18" s="23"/>
      <c r="C18" s="23"/>
      <c r="D18" s="23"/>
      <c r="E18" s="23"/>
      <c r="F18" s="23"/>
      <c r="G18" s="23"/>
      <c r="H18" s="23"/>
      <c r="I18" s="23"/>
      <c r="J18" s="23"/>
      <c r="K18" s="23"/>
    </row>
    <row r="19" spans="1:11" ht="19.5" customHeight="1" x14ac:dyDescent="0.3">
      <c r="A19" s="25"/>
      <c r="B19" s="23"/>
      <c r="C19" s="23"/>
      <c r="D19" s="23"/>
      <c r="E19" s="23"/>
      <c r="F19" s="23"/>
      <c r="G19" s="23"/>
      <c r="H19" s="23"/>
      <c r="I19" s="23"/>
      <c r="J19" s="23"/>
      <c r="K19" s="23"/>
    </row>
    <row r="20" spans="1:11" ht="19.5" customHeight="1" x14ac:dyDescent="0.3">
      <c r="A20" s="25"/>
      <c r="B20" s="23"/>
      <c r="C20" s="23"/>
      <c r="D20" s="23"/>
      <c r="E20" s="23"/>
      <c r="F20" s="23"/>
      <c r="G20" s="23"/>
      <c r="H20" s="23"/>
      <c r="I20" s="23"/>
      <c r="J20" s="23"/>
      <c r="K20" s="23"/>
    </row>
    <row r="21" spans="1:11" ht="19.5" customHeight="1" x14ac:dyDescent="0.3">
      <c r="A21" s="25"/>
      <c r="B21" s="23"/>
      <c r="C21" s="23"/>
      <c r="D21" s="23"/>
      <c r="E21" s="23"/>
      <c r="F21" s="23"/>
      <c r="G21" s="23"/>
      <c r="H21" s="23"/>
      <c r="I21" s="23"/>
      <c r="J21" s="23"/>
      <c r="K21" s="23"/>
    </row>
    <row r="22" spans="1:11" ht="19.5" customHeight="1" x14ac:dyDescent="0.3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</row>
  </sheetData>
  <mergeCells count="4">
    <mergeCell ref="A1:J1"/>
    <mergeCell ref="A2:J2"/>
    <mergeCell ref="A3:K3"/>
    <mergeCell ref="A6:K6"/>
  </mergeCells>
  <dataValidations count="22">
    <dataValidation allowBlank="1" showInputMessage="1" showErrorMessage="1" prompt="Time_x000d__x000a__x000d__x000a_TBL_CUR[TIME]" sqref="A5" xr:uid="{0EB5CC41-EAAE-4D8D-9DDA-2DF00287DDEB}"/>
    <dataValidation allowBlank="1" showInputMessage="1" showErrorMessage="1" prompt="TBL_CUR[CH1]" sqref="B5" xr:uid="{B61D5087-5744-4F97-A80E-FCF46B9F36E4}"/>
    <dataValidation allowBlank="1" showInputMessage="1" showErrorMessage="1" prompt="TBL_CUR[CH2]" sqref="C5" xr:uid="{9D220E59-6F3E-4D8E-9680-C14778B44707}"/>
    <dataValidation allowBlank="1" showInputMessage="1" showErrorMessage="1" prompt="TBL_CUR[CH3]" sqref="D5" xr:uid="{D9D6E458-2DF3-4436-A735-AB667A99807A}"/>
    <dataValidation allowBlank="1" showInputMessage="1" showErrorMessage="1" prompt="TBL_CUR[CH4]" sqref="E5" xr:uid="{433DFB84-D100-4187-A3EC-363B09DD3B2B}"/>
    <dataValidation allowBlank="1" showInputMessage="1" showErrorMessage="1" prompt="TBL_CUR[CH5]" sqref="F5" xr:uid="{1E122CCA-9B6A-42EF-A39E-3B677E44377B}"/>
    <dataValidation allowBlank="1" showInputMessage="1" showErrorMessage="1" prompt="TBL_CUR[CH6]" sqref="G5" xr:uid="{73D7882F-181F-40C5-AA6A-74873FE17A8C}"/>
    <dataValidation allowBlank="1" showInputMessage="1" showErrorMessage="1" prompt="TBL_CUR[CH7]" sqref="H5" xr:uid="{D07B4D6D-0888-474E-93B2-FC74EFFAEC70}"/>
    <dataValidation allowBlank="1" showInputMessage="1" showErrorMessage="1" prompt="TBL_CUR[CH8]" sqref="I5" xr:uid="{23E81EE3-F1DF-4680-80B6-F81A769C9139}"/>
    <dataValidation allowBlank="1" showInputMessage="1" showErrorMessage="1" prompt="TBL_CUR[CH9]" sqref="J5" xr:uid="{D4CDD64C-F4FB-49F2-B202-65FBB67ACA25}"/>
    <dataValidation allowBlank="1" showInputMessage="1" showErrorMessage="1" prompt="TBL_CUR[CH10]" sqref="K5" xr:uid="{EBD1E211-5F27-4A71-AF24-7DDCABFFB884}"/>
    <dataValidation allowBlank="1" showInputMessage="1" showErrorMessage="1" prompt="Time_x000d__x000a__x000d__x000a_TBL_HST[TIME]" sqref="A8:A22" xr:uid="{62B6B846-5D5D-4BBF-8B70-821A8DA88B1D}"/>
    <dataValidation allowBlank="1" showInputMessage="1" showErrorMessage="1" prompt="TBL_HST[CH1]" sqref="B8:B22" xr:uid="{5BDFC508-FD7E-41BF-BA1A-C0C0D4D30FFE}"/>
    <dataValidation allowBlank="1" showInputMessage="1" showErrorMessage="1" prompt="TBL_HST[CH2]" sqref="C8:C22" xr:uid="{AC42684F-EEDB-44C5-94A0-0A4DE3A86826}"/>
    <dataValidation allowBlank="1" showInputMessage="1" showErrorMessage="1" prompt="TBL_HST[CH3]" sqref="D8:D22" xr:uid="{ED66D158-E860-4047-8A29-A19204ADE955}"/>
    <dataValidation allowBlank="1" showInputMessage="1" showErrorMessage="1" prompt="TBL_HST[CH4]" sqref="E8:E22" xr:uid="{0DB2364F-3941-4502-A775-70DC8B30C2F3}"/>
    <dataValidation allowBlank="1" showInputMessage="1" showErrorMessage="1" prompt="TBL_HST[CH5]" sqref="F8:F22" xr:uid="{457ACA29-734B-41A9-877B-EE846D9A8257}"/>
    <dataValidation allowBlank="1" showInputMessage="1" showErrorMessage="1" prompt="TBL_HST[CH6]" sqref="G8:G22" xr:uid="{D68DF587-2374-4816-9D73-FFCB77E99914}"/>
    <dataValidation allowBlank="1" showInputMessage="1" showErrorMessage="1" prompt="TBL_HST[CH7]" sqref="H8:H22" xr:uid="{33681CC0-9FF4-42D8-8C8B-D9EC77A4024A}"/>
    <dataValidation allowBlank="1" showInputMessage="1" showErrorMessage="1" prompt="TBL_HST[CH8]" sqref="I8:I22" xr:uid="{24BF655F-B036-4A67-BF3D-FE616FB52013}"/>
    <dataValidation allowBlank="1" showInputMessage="1" showErrorMessage="1" prompt="TBL_HST[CH9]" sqref="J8:J22" xr:uid="{DAD52081-C709-4383-9E45-B0BA87E93264}"/>
    <dataValidation allowBlank="1" showInputMessage="1" showErrorMessage="1" prompt="TBL_HST[CH10]" sqref="K8:K22" xr:uid="{725B67E5-AF7A-4E66-A7FB-6B9CD8E9C571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628C9-296F-4C29-A45C-0D76E763E56C}">
  <sheetPr codeName="Sheet4"/>
  <dimension ref="A1:J5"/>
  <sheetViews>
    <sheetView workbookViewId="0">
      <selection sqref="A1:H1"/>
    </sheetView>
  </sheetViews>
  <sheetFormatPr defaultRowHeight="14.4" x14ac:dyDescent="0.3"/>
  <cols>
    <col min="1" max="10" width="11.5546875" customWidth="1"/>
  </cols>
  <sheetData>
    <row r="1" spans="1:10" ht="29.4" x14ac:dyDescent="0.65">
      <c r="A1" s="45"/>
      <c r="B1" s="45"/>
      <c r="C1" s="45"/>
      <c r="D1" s="45"/>
      <c r="E1" s="45"/>
      <c r="F1" s="45"/>
      <c r="G1" s="45"/>
      <c r="H1" s="45"/>
    </row>
    <row r="2" spans="1:10" ht="16.8" x14ac:dyDescent="0.3">
      <c r="A2" s="46" t="s">
        <v>114</v>
      </c>
      <c r="B2" s="46"/>
      <c r="C2" s="46"/>
      <c r="D2" s="46"/>
      <c r="E2" s="46"/>
      <c r="F2" s="46"/>
      <c r="G2" s="46"/>
      <c r="H2" s="46"/>
    </row>
    <row r="3" spans="1:10" ht="17.399999999999999" customHeight="1" x14ac:dyDescent="0.3"/>
    <row r="4" spans="1:10" ht="19.5" customHeight="1" x14ac:dyDescent="0.3">
      <c r="A4" s="34" t="s">
        <v>95</v>
      </c>
      <c r="B4" s="35" t="s">
        <v>97</v>
      </c>
      <c r="C4" s="35" t="s">
        <v>98</v>
      </c>
      <c r="D4" s="35" t="s">
        <v>99</v>
      </c>
      <c r="E4" s="35" t="s">
        <v>100</v>
      </c>
      <c r="F4" s="35" t="s">
        <v>101</v>
      </c>
      <c r="G4" s="35" t="s">
        <v>102</v>
      </c>
      <c r="H4" s="35" t="s">
        <v>103</v>
      </c>
      <c r="I4" s="35" t="s">
        <v>104</v>
      </c>
      <c r="J4" s="35" t="s">
        <v>105</v>
      </c>
    </row>
    <row r="5" spans="1:10" ht="27" customHeight="1" x14ac:dyDescent="0.3">
      <c r="A5" s="18"/>
      <c r="B5" s="18"/>
      <c r="C5" s="18"/>
      <c r="D5" s="18"/>
      <c r="E5" s="18"/>
      <c r="F5" s="18"/>
      <c r="G5" s="18"/>
      <c r="H5" s="18"/>
      <c r="I5" s="18"/>
      <c r="J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4BCE7-03CF-4F6B-B950-A9C7EDF7DCFD}">
  <sheetPr codeName="Sheet3"/>
  <dimension ref="A1:E13"/>
  <sheetViews>
    <sheetView workbookViewId="0">
      <selection sqref="A1:E1"/>
    </sheetView>
  </sheetViews>
  <sheetFormatPr defaultColWidth="9.109375" defaultRowHeight="14.4" x14ac:dyDescent="0.3"/>
  <cols>
    <col min="1" max="1" width="30.6640625" style="15" customWidth="1"/>
    <col min="2" max="2" width="0.109375" style="15" customWidth="1"/>
    <col min="3" max="3" width="30.6640625" style="15" customWidth="1"/>
    <col min="4" max="16384" width="9.109375" style="15"/>
  </cols>
  <sheetData>
    <row r="1" spans="1:5" ht="29.4" x14ac:dyDescent="0.65">
      <c r="A1" s="47" t="s">
        <v>106</v>
      </c>
      <c r="B1" s="47"/>
      <c r="C1" s="47"/>
      <c r="D1" s="47"/>
      <c r="E1" s="47"/>
    </row>
    <row r="2" spans="1:5" ht="50.1" customHeight="1" x14ac:dyDescent="0.3">
      <c r="A2" s="48" t="s">
        <v>107</v>
      </c>
      <c r="B2" s="48"/>
      <c r="C2" s="48"/>
      <c r="D2" s="48"/>
      <c r="E2" s="48"/>
    </row>
    <row r="3" spans="1:5" ht="4.5" customHeight="1" x14ac:dyDescent="0.3"/>
    <row r="4" spans="1:5" ht="24" customHeight="1" x14ac:dyDescent="0.3">
      <c r="A4" s="33" t="s">
        <v>108</v>
      </c>
      <c r="B4" s="16">
        <v>150</v>
      </c>
      <c r="C4" s="17">
        <v>150</v>
      </c>
    </row>
    <row r="5" spans="1:5" ht="4.5" customHeight="1" x14ac:dyDescent="0.3"/>
    <row r="6" spans="1:5" ht="24" customHeight="1" x14ac:dyDescent="0.3">
      <c r="A6" s="33" t="s">
        <v>109</v>
      </c>
      <c r="B6" s="16">
        <v>15</v>
      </c>
      <c r="C6" s="17">
        <v>15</v>
      </c>
    </row>
    <row r="7" spans="1:5" ht="4.5" customHeight="1" x14ac:dyDescent="0.3"/>
    <row r="8" spans="1:5" ht="24" customHeight="1" x14ac:dyDescent="0.3">
      <c r="A8" s="33" t="s">
        <v>110</v>
      </c>
      <c r="B8" s="16">
        <v>10</v>
      </c>
      <c r="C8" s="17">
        <v>10</v>
      </c>
    </row>
    <row r="9" spans="1:5" ht="4.5" customHeight="1" x14ac:dyDescent="0.3"/>
    <row r="10" spans="1:5" ht="24" customHeight="1" x14ac:dyDescent="0.3">
      <c r="A10" s="33" t="s">
        <v>111</v>
      </c>
      <c r="B10" s="16" t="s">
        <v>112</v>
      </c>
      <c r="C10" s="17" t="s">
        <v>112</v>
      </c>
    </row>
    <row r="13" spans="1:5" ht="50.1" customHeight="1" x14ac:dyDescent="0.3">
      <c r="A13" s="49" t="s">
        <v>113</v>
      </c>
      <c r="B13" s="49"/>
      <c r="C13" s="49"/>
      <c r="D13" s="49"/>
      <c r="E13" s="49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alue must be from 10 to 1000" prompt="Minimum duration between data readings, in milliseconds. 10 to 1000" sqref="C4" xr:uid="{CAE2DFD5-0CF6-413B-8854-7D6A69ACD049}">
      <formula1>10</formula1>
      <formula2>1000</formula2>
    </dataValidation>
    <dataValidation type="whole" allowBlank="1" showInputMessage="1" showErrorMessage="1" error="Value must be from 1 to 1000000" prompt="Number of historical data rows to keep. 1 to 1000000" sqref="C6" xr:uid="{262B37B3-9F77-4C78-ABBC-2C27B99839DB}">
      <formula1>1</formula1>
      <formula2>1000000</formula2>
    </dataValidation>
    <dataValidation type="whole" allowBlank="1" showInputMessage="1" showErrorMessage="1" error="Value must be from 1 to 1000" prompt="Number of data columns to read. 1 to 1000" sqref="C8" xr:uid="{893CDC70-2EE1-4AD7-9AE4-E14555CBBAD8}">
      <formula1>1</formula1>
      <formula2>1000</formula2>
    </dataValidation>
    <dataValidation type="list" errorStyle="information" allowBlank="1" showInputMessage="1" sqref="C10" xr:uid="{0981691F-535A-48DB-96ED-9D8ACAAEF576}">
      <formula1>"Newest first,Newest last"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2B584-355C-4A6E-B7E3-C9221AA8803A}">
  <sheetPr codeName="Sheet2"/>
  <dimension ref="A1:L16"/>
  <sheetViews>
    <sheetView workbookViewId="0">
      <selection sqref="A1:G1"/>
    </sheetView>
  </sheetViews>
  <sheetFormatPr defaultColWidth="9.109375" defaultRowHeight="14.4" x14ac:dyDescent="0.3"/>
  <cols>
    <col min="1" max="2" width="3.6640625" style="5" customWidth="1"/>
    <col min="3" max="3" width="14.6640625" style="5" customWidth="1"/>
    <col min="4" max="4" width="18.6640625" style="5" customWidth="1"/>
    <col min="5" max="5" width="60.6640625" style="5" customWidth="1"/>
    <col min="6" max="6" width="16.6640625" style="5" customWidth="1"/>
    <col min="7" max="7" width="12.6640625" style="5" customWidth="1"/>
    <col min="8" max="8" width="9.109375" style="5"/>
    <col min="9" max="9" width="16.6640625" style="5" customWidth="1"/>
    <col min="10" max="10" width="60.6640625" style="5" customWidth="1"/>
    <col min="11" max="16384" width="9.109375" style="5"/>
  </cols>
  <sheetData>
    <row r="1" spans="1:12" ht="29.4" x14ac:dyDescent="0.65">
      <c r="A1" s="52" t="s">
        <v>88</v>
      </c>
      <c r="B1" s="52"/>
      <c r="C1" s="52"/>
      <c r="D1" s="52"/>
      <c r="E1" s="52"/>
      <c r="F1" s="52"/>
      <c r="G1" s="52"/>
      <c r="L1" s="30" t="s">
        <v>205</v>
      </c>
    </row>
    <row r="2" spans="1:12" ht="48" customHeight="1" x14ac:dyDescent="0.3">
      <c r="A2" s="53" t="s">
        <v>89</v>
      </c>
      <c r="B2" s="53"/>
      <c r="C2" s="53"/>
      <c r="D2" s="53"/>
      <c r="E2" s="53"/>
      <c r="F2" s="53"/>
      <c r="G2" s="53"/>
    </row>
    <row r="3" spans="1:12" ht="26.1" customHeight="1" x14ac:dyDescent="0.55000000000000004">
      <c r="B3" s="56" t="s">
        <v>84</v>
      </c>
      <c r="C3" s="56"/>
      <c r="D3" s="56"/>
      <c r="E3" s="56"/>
      <c r="F3" s="56"/>
      <c r="G3" s="56"/>
      <c r="H3" s="56"/>
    </row>
    <row r="4" spans="1:12" ht="26.1" customHeight="1" x14ac:dyDescent="0.4">
      <c r="B4" s="54"/>
      <c r="C4" s="54"/>
      <c r="D4" s="54"/>
      <c r="E4" s="54"/>
      <c r="F4" s="54"/>
      <c r="G4" s="54"/>
      <c r="I4" s="50" t="s">
        <v>85</v>
      </c>
      <c r="J4" s="50"/>
    </row>
    <row r="5" spans="1:12" ht="24" customHeight="1" x14ac:dyDescent="0.3">
      <c r="B5" s="54"/>
      <c r="C5" s="6" t="s">
        <v>90</v>
      </c>
      <c r="D5" s="6" t="s">
        <v>91</v>
      </c>
      <c r="E5" s="6" t="s">
        <v>92</v>
      </c>
      <c r="F5" s="6" t="s">
        <v>93</v>
      </c>
      <c r="G5" s="6" t="s">
        <v>94</v>
      </c>
      <c r="I5" s="51" t="s">
        <v>204</v>
      </c>
      <c r="J5" s="51"/>
      <c r="K5" s="30">
        <v>1</v>
      </c>
    </row>
    <row r="6" spans="1:12" ht="24" customHeight="1" x14ac:dyDescent="0.4">
      <c r="B6" s="54"/>
      <c r="C6" s="32" t="s">
        <v>95</v>
      </c>
      <c r="D6" s="8" t="s">
        <v>95</v>
      </c>
      <c r="E6" s="8"/>
      <c r="F6" s="8"/>
      <c r="G6" s="7" t="s">
        <v>96</v>
      </c>
      <c r="I6" s="50" t="s">
        <v>86</v>
      </c>
      <c r="J6" s="50"/>
    </row>
    <row r="7" spans="1:12" ht="24" customHeight="1" x14ac:dyDescent="0.3">
      <c r="B7" s="54"/>
      <c r="C7" s="10" t="s">
        <v>97</v>
      </c>
      <c r="D7" s="11" t="s">
        <v>97</v>
      </c>
      <c r="E7" s="11"/>
      <c r="F7" s="11"/>
      <c r="G7" s="9" t="s">
        <v>96</v>
      </c>
      <c r="I7" s="31">
        <v>150</v>
      </c>
    </row>
    <row r="8" spans="1:12" ht="24" customHeight="1" x14ac:dyDescent="0.4">
      <c r="B8" s="54"/>
      <c r="C8" s="10" t="s">
        <v>98</v>
      </c>
      <c r="D8" s="11" t="s">
        <v>98</v>
      </c>
      <c r="E8" s="11"/>
      <c r="F8" s="11"/>
      <c r="G8" s="9" t="s">
        <v>96</v>
      </c>
      <c r="I8" s="50" t="s">
        <v>87</v>
      </c>
      <c r="J8" s="50"/>
    </row>
    <row r="9" spans="1:12" ht="24" customHeight="1" x14ac:dyDescent="0.3">
      <c r="B9" s="54"/>
      <c r="C9" s="10" t="s">
        <v>99</v>
      </c>
      <c r="D9" s="11" t="s">
        <v>99</v>
      </c>
      <c r="E9" s="11"/>
      <c r="F9" s="11"/>
      <c r="G9" s="9" t="s">
        <v>96</v>
      </c>
      <c r="I9" s="31">
        <v>9600</v>
      </c>
    </row>
    <row r="10" spans="1:12" ht="24" customHeight="1" x14ac:dyDescent="0.3">
      <c r="B10" s="54"/>
      <c r="C10" s="10" t="s">
        <v>100</v>
      </c>
      <c r="D10" s="11" t="s">
        <v>100</v>
      </c>
      <c r="E10" s="11"/>
      <c r="F10" s="11"/>
      <c r="G10" s="9" t="s">
        <v>96</v>
      </c>
    </row>
    <row r="11" spans="1:12" ht="24" customHeight="1" x14ac:dyDescent="0.3">
      <c r="B11" s="54"/>
      <c r="C11" s="10" t="s">
        <v>101</v>
      </c>
      <c r="D11" s="11" t="s">
        <v>101</v>
      </c>
      <c r="E11" s="11"/>
      <c r="F11" s="11"/>
      <c r="G11" s="9" t="s">
        <v>96</v>
      </c>
    </row>
    <row r="12" spans="1:12" ht="24" customHeight="1" x14ac:dyDescent="0.3">
      <c r="B12" s="54"/>
      <c r="C12" s="10" t="s">
        <v>102</v>
      </c>
      <c r="D12" s="11" t="s">
        <v>102</v>
      </c>
      <c r="E12" s="11"/>
      <c r="F12" s="11"/>
      <c r="G12" s="9" t="s">
        <v>96</v>
      </c>
    </row>
    <row r="13" spans="1:12" ht="24" customHeight="1" x14ac:dyDescent="0.3">
      <c r="B13" s="54"/>
      <c r="C13" s="10" t="s">
        <v>103</v>
      </c>
      <c r="D13" s="11" t="s">
        <v>103</v>
      </c>
      <c r="E13" s="11"/>
      <c r="F13" s="11"/>
      <c r="G13" s="9" t="s">
        <v>96</v>
      </c>
    </row>
    <row r="14" spans="1:12" ht="24" customHeight="1" x14ac:dyDescent="0.3">
      <c r="B14" s="54"/>
      <c r="C14" s="10" t="s">
        <v>104</v>
      </c>
      <c r="D14" s="11" t="s">
        <v>104</v>
      </c>
      <c r="E14" s="11"/>
      <c r="F14" s="11"/>
      <c r="G14" s="9" t="s">
        <v>96</v>
      </c>
    </row>
    <row r="15" spans="1:12" ht="24" customHeight="1" thickBot="1" x14ac:dyDescent="0.35">
      <c r="B15" s="55"/>
      <c r="C15" s="12" t="s">
        <v>105</v>
      </c>
      <c r="D15" s="13" t="s">
        <v>105</v>
      </c>
      <c r="E15" s="13"/>
      <c r="F15" s="13"/>
      <c r="G15" s="14" t="s">
        <v>96</v>
      </c>
    </row>
    <row r="16" spans="1:12" ht="15" thickTop="1" x14ac:dyDescent="0.3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HomeUp</vt:lpstr>
      <vt:lpstr>HomeDown</vt:lpstr>
      <vt:lpstr>Sheet6</vt:lpstr>
      <vt:lpstr>Data In</vt:lpstr>
      <vt:lpstr>Data Out</vt:lpstr>
      <vt:lpstr>Settings</vt:lpstr>
      <vt:lpstr>Manifest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Semira, Isagani</dc:creator>
  <cp:lastModifiedBy>Patel, Rupesh</cp:lastModifiedBy>
  <dcterms:created xsi:type="dcterms:W3CDTF">2026-04-01T14:24:57Z</dcterms:created>
  <dcterms:modified xsi:type="dcterms:W3CDTF">2026-05-12T14:22:07Z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1ac946fc-f2a0-427a-b827-60ccf6c1d258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